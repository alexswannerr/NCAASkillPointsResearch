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57217e6b870b263/Documents/"/>
    </mc:Choice>
  </mc:AlternateContent>
  <xr:revisionPtr revIDLastSave="0" documentId="8_{5493C2D3-D33B-4F59-980B-1E8DA58DB0AB}" xr6:coauthVersionLast="47" xr6:coauthVersionMax="47" xr10:uidLastSave="{00000000-0000-0000-0000-000000000000}"/>
  <bookViews>
    <workbookView xWindow="-108" yWindow="-108" windowWidth="23256" windowHeight="12456" xr2:uid="{7543A9F6-0622-4296-B251-FEA95F58C0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9" i="1" l="1"/>
  <c r="Q529" i="1"/>
  <c r="P529" i="1"/>
  <c r="L529" i="1"/>
  <c r="K529" i="1"/>
  <c r="I529" i="1"/>
  <c r="G529" i="1"/>
  <c r="R528" i="1"/>
  <c r="Q528" i="1"/>
  <c r="P528" i="1"/>
  <c r="L528" i="1"/>
  <c r="K528" i="1"/>
  <c r="I528" i="1"/>
  <c r="G528" i="1"/>
  <c r="R527" i="1"/>
  <c r="Q527" i="1"/>
  <c r="P527" i="1"/>
  <c r="L527" i="1"/>
  <c r="K527" i="1"/>
  <c r="I527" i="1"/>
  <c r="G527" i="1"/>
  <c r="R526" i="1"/>
  <c r="Q526" i="1"/>
  <c r="P526" i="1"/>
  <c r="L526" i="1"/>
  <c r="K526" i="1"/>
  <c r="I526" i="1"/>
  <c r="G526" i="1"/>
  <c r="R525" i="1"/>
  <c r="Q525" i="1"/>
  <c r="P525" i="1"/>
  <c r="L525" i="1"/>
  <c r="K525" i="1"/>
  <c r="I525" i="1"/>
  <c r="G525" i="1"/>
  <c r="R524" i="1"/>
  <c r="Q524" i="1"/>
  <c r="P524" i="1"/>
  <c r="L524" i="1"/>
  <c r="K524" i="1"/>
  <c r="I524" i="1"/>
  <c r="G524" i="1"/>
  <c r="R523" i="1"/>
  <c r="Q523" i="1"/>
  <c r="P523" i="1"/>
  <c r="L523" i="1"/>
  <c r="K523" i="1"/>
  <c r="I523" i="1"/>
  <c r="G523" i="1"/>
  <c r="R522" i="1"/>
  <c r="Q522" i="1"/>
  <c r="P522" i="1"/>
  <c r="L522" i="1"/>
  <c r="K522" i="1"/>
  <c r="I522" i="1"/>
  <c r="G522" i="1"/>
  <c r="R521" i="1"/>
  <c r="Q521" i="1"/>
  <c r="P521" i="1"/>
  <c r="L521" i="1"/>
  <c r="K521" i="1"/>
  <c r="I521" i="1"/>
  <c r="G521" i="1"/>
  <c r="R520" i="1"/>
  <c r="Q520" i="1"/>
  <c r="P520" i="1"/>
  <c r="L520" i="1"/>
  <c r="K520" i="1"/>
  <c r="I520" i="1"/>
  <c r="G520" i="1"/>
  <c r="R519" i="1"/>
  <c r="Q519" i="1"/>
  <c r="P519" i="1"/>
  <c r="L519" i="1"/>
  <c r="K519" i="1"/>
  <c r="I519" i="1"/>
  <c r="G519" i="1"/>
  <c r="R518" i="1"/>
  <c r="Q518" i="1"/>
  <c r="P518" i="1"/>
  <c r="L518" i="1"/>
  <c r="K518" i="1"/>
  <c r="I518" i="1"/>
  <c r="G518" i="1"/>
  <c r="R517" i="1"/>
  <c r="Q517" i="1"/>
  <c r="P517" i="1"/>
  <c r="L517" i="1"/>
  <c r="K517" i="1"/>
  <c r="I517" i="1"/>
  <c r="G517" i="1"/>
  <c r="R516" i="1"/>
  <c r="Q516" i="1"/>
  <c r="P516" i="1"/>
  <c r="L516" i="1"/>
  <c r="K516" i="1"/>
  <c r="I516" i="1"/>
  <c r="G516" i="1"/>
  <c r="R515" i="1"/>
  <c r="Q515" i="1"/>
  <c r="P515" i="1"/>
  <c r="L515" i="1"/>
  <c r="K515" i="1"/>
  <c r="I515" i="1"/>
  <c r="G515" i="1"/>
  <c r="R514" i="1"/>
  <c r="Q514" i="1"/>
  <c r="P514" i="1"/>
  <c r="L514" i="1"/>
  <c r="K514" i="1"/>
  <c r="I514" i="1"/>
  <c r="G514" i="1"/>
  <c r="R513" i="1"/>
  <c r="Q513" i="1"/>
  <c r="P513" i="1"/>
  <c r="L513" i="1"/>
  <c r="K513" i="1"/>
  <c r="I513" i="1"/>
  <c r="G513" i="1"/>
  <c r="R512" i="1"/>
  <c r="Q512" i="1"/>
  <c r="P512" i="1"/>
  <c r="L512" i="1"/>
  <c r="K512" i="1"/>
  <c r="I512" i="1"/>
  <c r="G512" i="1"/>
  <c r="R511" i="1"/>
  <c r="Q511" i="1"/>
  <c r="P511" i="1"/>
  <c r="L511" i="1"/>
  <c r="K511" i="1"/>
  <c r="I511" i="1"/>
  <c r="G511" i="1"/>
  <c r="R510" i="1"/>
  <c r="Q510" i="1"/>
  <c r="P510" i="1"/>
  <c r="L510" i="1"/>
  <c r="K510" i="1"/>
  <c r="I510" i="1"/>
  <c r="G510" i="1"/>
  <c r="R509" i="1"/>
  <c r="Q509" i="1"/>
  <c r="P509" i="1"/>
  <c r="L509" i="1"/>
  <c r="K509" i="1"/>
  <c r="I509" i="1"/>
  <c r="G509" i="1"/>
  <c r="R508" i="1"/>
  <c r="Q508" i="1"/>
  <c r="P508" i="1"/>
  <c r="L508" i="1"/>
  <c r="K508" i="1"/>
  <c r="I508" i="1"/>
  <c r="G508" i="1"/>
  <c r="R507" i="1"/>
  <c r="Q507" i="1"/>
  <c r="P507" i="1"/>
  <c r="L507" i="1"/>
  <c r="K507" i="1"/>
  <c r="I507" i="1"/>
  <c r="G507" i="1"/>
  <c r="R506" i="1"/>
  <c r="Q506" i="1"/>
  <c r="P506" i="1"/>
  <c r="L506" i="1"/>
  <c r="K506" i="1"/>
  <c r="I506" i="1"/>
  <c r="G506" i="1"/>
  <c r="R505" i="1"/>
  <c r="Q505" i="1"/>
  <c r="P505" i="1"/>
  <c r="L505" i="1"/>
  <c r="K505" i="1"/>
  <c r="I505" i="1"/>
  <c r="G505" i="1"/>
  <c r="R504" i="1"/>
  <c r="Q504" i="1"/>
  <c r="P504" i="1"/>
  <c r="L504" i="1"/>
  <c r="K504" i="1"/>
  <c r="I504" i="1"/>
  <c r="G504" i="1"/>
  <c r="R503" i="1"/>
  <c r="Q503" i="1"/>
  <c r="P503" i="1"/>
  <c r="L503" i="1"/>
  <c r="K503" i="1"/>
  <c r="I503" i="1"/>
  <c r="G503" i="1"/>
  <c r="R502" i="1"/>
  <c r="Q502" i="1"/>
  <c r="P502" i="1"/>
  <c r="L502" i="1"/>
  <c r="K502" i="1"/>
  <c r="I502" i="1"/>
  <c r="G502" i="1"/>
  <c r="R501" i="1"/>
  <c r="Q501" i="1"/>
  <c r="P501" i="1"/>
  <c r="L501" i="1"/>
  <c r="K501" i="1"/>
  <c r="I501" i="1"/>
  <c r="G501" i="1"/>
  <c r="R500" i="1"/>
  <c r="Q500" i="1"/>
  <c r="P500" i="1"/>
  <c r="L500" i="1"/>
  <c r="K500" i="1"/>
  <c r="I500" i="1"/>
  <c r="G500" i="1"/>
  <c r="R499" i="1"/>
  <c r="Q499" i="1"/>
  <c r="P499" i="1"/>
  <c r="L499" i="1"/>
  <c r="K499" i="1"/>
  <c r="I499" i="1"/>
  <c r="G499" i="1"/>
  <c r="R498" i="1"/>
  <c r="Q498" i="1"/>
  <c r="P498" i="1"/>
  <c r="L498" i="1"/>
  <c r="K498" i="1"/>
  <c r="I498" i="1"/>
  <c r="G498" i="1"/>
  <c r="R497" i="1"/>
  <c r="Q497" i="1"/>
  <c r="P497" i="1"/>
  <c r="L497" i="1"/>
  <c r="K497" i="1"/>
  <c r="I497" i="1"/>
  <c r="G497" i="1"/>
  <c r="R496" i="1"/>
  <c r="Q496" i="1"/>
  <c r="P496" i="1"/>
  <c r="L496" i="1"/>
  <c r="K496" i="1"/>
  <c r="I496" i="1"/>
  <c r="G496" i="1"/>
  <c r="R495" i="1"/>
  <c r="Q495" i="1"/>
  <c r="P495" i="1"/>
  <c r="L495" i="1"/>
  <c r="K495" i="1"/>
  <c r="I495" i="1"/>
  <c r="G495" i="1"/>
  <c r="R494" i="1"/>
  <c r="Q494" i="1"/>
  <c r="P494" i="1"/>
  <c r="L494" i="1"/>
  <c r="K494" i="1"/>
  <c r="I494" i="1"/>
  <c r="G494" i="1"/>
  <c r="R493" i="1"/>
  <c r="Q493" i="1"/>
  <c r="P493" i="1"/>
  <c r="L493" i="1"/>
  <c r="K493" i="1"/>
  <c r="I493" i="1"/>
  <c r="G493" i="1"/>
  <c r="R492" i="1"/>
  <c r="Q492" i="1"/>
  <c r="P492" i="1"/>
  <c r="L492" i="1"/>
  <c r="K492" i="1"/>
  <c r="I492" i="1"/>
  <c r="G492" i="1"/>
  <c r="R491" i="1"/>
  <c r="Q491" i="1"/>
  <c r="P491" i="1"/>
  <c r="L491" i="1"/>
  <c r="K491" i="1"/>
  <c r="I491" i="1"/>
  <c r="G491" i="1"/>
  <c r="R490" i="1"/>
  <c r="Q490" i="1"/>
  <c r="P490" i="1"/>
  <c r="L490" i="1"/>
  <c r="K490" i="1"/>
  <c r="I490" i="1"/>
  <c r="G490" i="1"/>
  <c r="R489" i="1"/>
  <c r="Q489" i="1"/>
  <c r="P489" i="1"/>
  <c r="L489" i="1"/>
  <c r="K489" i="1"/>
  <c r="I489" i="1"/>
  <c r="G489" i="1"/>
  <c r="R488" i="1"/>
  <c r="Q488" i="1"/>
  <c r="P488" i="1"/>
  <c r="L488" i="1"/>
  <c r="K488" i="1"/>
  <c r="I488" i="1"/>
  <c r="G488" i="1"/>
  <c r="R487" i="1"/>
  <c r="Q487" i="1"/>
  <c r="P487" i="1"/>
  <c r="L487" i="1"/>
  <c r="K487" i="1"/>
  <c r="I487" i="1"/>
  <c r="G487" i="1"/>
  <c r="R486" i="1"/>
  <c r="Q486" i="1"/>
  <c r="P486" i="1"/>
  <c r="L486" i="1"/>
  <c r="K486" i="1"/>
  <c r="I486" i="1"/>
  <c r="G486" i="1"/>
  <c r="R485" i="1"/>
  <c r="Q485" i="1"/>
  <c r="P485" i="1"/>
  <c r="L485" i="1"/>
  <c r="K485" i="1"/>
  <c r="I485" i="1"/>
  <c r="G485" i="1"/>
  <c r="R484" i="1"/>
  <c r="Q484" i="1"/>
  <c r="P484" i="1"/>
  <c r="L484" i="1"/>
  <c r="K484" i="1"/>
  <c r="I484" i="1"/>
  <c r="G484" i="1"/>
  <c r="R483" i="1"/>
  <c r="Q483" i="1"/>
  <c r="P483" i="1"/>
  <c r="L483" i="1"/>
  <c r="K483" i="1"/>
  <c r="I483" i="1"/>
  <c r="G483" i="1"/>
  <c r="R482" i="1"/>
  <c r="Q482" i="1"/>
  <c r="P482" i="1"/>
  <c r="L482" i="1"/>
  <c r="K482" i="1"/>
  <c r="I482" i="1"/>
  <c r="G482" i="1"/>
  <c r="R481" i="1"/>
  <c r="Q481" i="1"/>
  <c r="P481" i="1"/>
  <c r="L481" i="1"/>
  <c r="K481" i="1"/>
  <c r="I481" i="1"/>
  <c r="G481" i="1"/>
  <c r="R480" i="1"/>
  <c r="Q480" i="1"/>
  <c r="P480" i="1"/>
  <c r="L480" i="1"/>
  <c r="K480" i="1"/>
  <c r="I480" i="1"/>
  <c r="G480" i="1"/>
  <c r="R479" i="1"/>
  <c r="Q479" i="1"/>
  <c r="P479" i="1"/>
  <c r="L479" i="1"/>
  <c r="K479" i="1"/>
  <c r="I479" i="1"/>
  <c r="G479" i="1"/>
  <c r="R478" i="1"/>
  <c r="Q478" i="1"/>
  <c r="P478" i="1"/>
  <c r="L478" i="1"/>
  <c r="K478" i="1"/>
  <c r="I478" i="1"/>
  <c r="G478" i="1"/>
  <c r="R477" i="1"/>
  <c r="Q477" i="1"/>
  <c r="P477" i="1"/>
  <c r="L477" i="1"/>
  <c r="K477" i="1"/>
  <c r="I477" i="1"/>
  <c r="G477" i="1"/>
  <c r="R476" i="1"/>
  <c r="Q476" i="1"/>
  <c r="P476" i="1"/>
  <c r="L476" i="1"/>
  <c r="K476" i="1"/>
  <c r="I476" i="1"/>
  <c r="G476" i="1"/>
  <c r="R475" i="1"/>
  <c r="Q475" i="1"/>
  <c r="P475" i="1"/>
  <c r="L475" i="1"/>
  <c r="K475" i="1"/>
  <c r="I475" i="1"/>
  <c r="G475" i="1"/>
  <c r="R474" i="1"/>
  <c r="Q474" i="1"/>
  <c r="P474" i="1"/>
  <c r="L474" i="1"/>
  <c r="K474" i="1"/>
  <c r="I474" i="1"/>
  <c r="G474" i="1"/>
  <c r="R473" i="1"/>
  <c r="Q473" i="1"/>
  <c r="P473" i="1"/>
  <c r="L473" i="1"/>
  <c r="K473" i="1"/>
  <c r="I473" i="1"/>
  <c r="G473" i="1"/>
  <c r="R472" i="1"/>
  <c r="Q472" i="1"/>
  <c r="P472" i="1"/>
  <c r="L472" i="1"/>
  <c r="K472" i="1"/>
  <c r="I472" i="1"/>
  <c r="G472" i="1"/>
  <c r="R471" i="1"/>
  <c r="Q471" i="1"/>
  <c r="P471" i="1"/>
  <c r="L471" i="1"/>
  <c r="K471" i="1"/>
  <c r="I471" i="1"/>
  <c r="G471" i="1"/>
  <c r="R470" i="1"/>
  <c r="Q470" i="1"/>
  <c r="P470" i="1"/>
  <c r="L470" i="1"/>
  <c r="K470" i="1"/>
  <c r="I470" i="1"/>
  <c r="G470" i="1"/>
  <c r="R469" i="1"/>
  <c r="Q469" i="1"/>
  <c r="P469" i="1"/>
  <c r="L469" i="1"/>
  <c r="K469" i="1"/>
  <c r="I469" i="1"/>
  <c r="G469" i="1"/>
  <c r="R468" i="1"/>
  <c r="Q468" i="1"/>
  <c r="P468" i="1"/>
  <c r="L468" i="1"/>
  <c r="K468" i="1"/>
  <c r="I468" i="1"/>
  <c r="G468" i="1"/>
  <c r="R467" i="1"/>
  <c r="Q467" i="1"/>
  <c r="P467" i="1"/>
  <c r="L467" i="1"/>
  <c r="K467" i="1"/>
  <c r="I467" i="1"/>
  <c r="G467" i="1"/>
  <c r="R466" i="1"/>
  <c r="Q466" i="1"/>
  <c r="P466" i="1"/>
  <c r="L466" i="1"/>
  <c r="K466" i="1"/>
  <c r="I466" i="1"/>
  <c r="G466" i="1"/>
  <c r="R465" i="1"/>
  <c r="Q465" i="1"/>
  <c r="P465" i="1"/>
  <c r="L465" i="1"/>
  <c r="K465" i="1"/>
  <c r="I465" i="1"/>
  <c r="G465" i="1"/>
  <c r="R464" i="1"/>
  <c r="Q464" i="1"/>
  <c r="P464" i="1"/>
  <c r="L464" i="1"/>
  <c r="K464" i="1"/>
  <c r="I464" i="1"/>
  <c r="G464" i="1"/>
  <c r="R463" i="1"/>
  <c r="Q463" i="1"/>
  <c r="P463" i="1"/>
  <c r="L463" i="1"/>
  <c r="K463" i="1"/>
  <c r="I463" i="1"/>
  <c r="G463" i="1"/>
  <c r="R462" i="1"/>
  <c r="Q462" i="1"/>
  <c r="P462" i="1"/>
  <c r="L462" i="1"/>
  <c r="K462" i="1"/>
  <c r="I462" i="1"/>
  <c r="G462" i="1"/>
  <c r="R461" i="1"/>
  <c r="Q461" i="1"/>
  <c r="P461" i="1"/>
  <c r="L461" i="1"/>
  <c r="K461" i="1"/>
  <c r="I461" i="1"/>
  <c r="G461" i="1"/>
  <c r="R460" i="1"/>
  <c r="Q460" i="1"/>
  <c r="P460" i="1"/>
  <c r="L460" i="1"/>
  <c r="K460" i="1"/>
  <c r="I460" i="1"/>
  <c r="G460" i="1"/>
  <c r="R459" i="1"/>
  <c r="Q459" i="1"/>
  <c r="P459" i="1"/>
  <c r="L459" i="1"/>
  <c r="K459" i="1"/>
  <c r="I459" i="1"/>
  <c r="G459" i="1"/>
  <c r="R458" i="1"/>
  <c r="Q458" i="1"/>
  <c r="P458" i="1"/>
  <c r="L458" i="1"/>
  <c r="K458" i="1"/>
  <c r="I458" i="1"/>
  <c r="G458" i="1"/>
  <c r="R457" i="1"/>
  <c r="Q457" i="1"/>
  <c r="P457" i="1"/>
  <c r="L457" i="1"/>
  <c r="K457" i="1"/>
  <c r="I457" i="1"/>
  <c r="G457" i="1"/>
  <c r="R456" i="1"/>
  <c r="Q456" i="1"/>
  <c r="P456" i="1"/>
  <c r="L456" i="1"/>
  <c r="K456" i="1"/>
  <c r="I456" i="1"/>
  <c r="G456" i="1"/>
  <c r="R455" i="1"/>
  <c r="Q455" i="1"/>
  <c r="P455" i="1"/>
  <c r="L455" i="1"/>
  <c r="K455" i="1"/>
  <c r="I455" i="1"/>
  <c r="G455" i="1"/>
  <c r="R454" i="1"/>
  <c r="Q454" i="1"/>
  <c r="P454" i="1"/>
  <c r="L454" i="1"/>
  <c r="K454" i="1"/>
  <c r="I454" i="1"/>
  <c r="G454" i="1"/>
  <c r="R453" i="1"/>
  <c r="Q453" i="1"/>
  <c r="P453" i="1"/>
  <c r="L453" i="1"/>
  <c r="K453" i="1"/>
  <c r="I453" i="1"/>
  <c r="G453" i="1"/>
  <c r="R452" i="1"/>
  <c r="Q452" i="1"/>
  <c r="P452" i="1"/>
  <c r="L452" i="1"/>
  <c r="K452" i="1"/>
  <c r="I452" i="1"/>
  <c r="G452" i="1"/>
  <c r="R451" i="1"/>
  <c r="Q451" i="1"/>
  <c r="P451" i="1"/>
  <c r="L451" i="1"/>
  <c r="K451" i="1"/>
  <c r="I451" i="1"/>
  <c r="G451" i="1"/>
  <c r="R450" i="1"/>
  <c r="Q450" i="1"/>
  <c r="P450" i="1"/>
  <c r="L450" i="1"/>
  <c r="K450" i="1"/>
  <c r="I450" i="1"/>
  <c r="G450" i="1"/>
  <c r="R449" i="1"/>
  <c r="Q449" i="1"/>
  <c r="P449" i="1"/>
  <c r="L449" i="1"/>
  <c r="K449" i="1"/>
  <c r="I449" i="1"/>
  <c r="G449" i="1"/>
  <c r="R448" i="1"/>
  <c r="Q448" i="1"/>
  <c r="P448" i="1"/>
  <c r="L448" i="1"/>
  <c r="K448" i="1"/>
  <c r="I448" i="1"/>
  <c r="G448" i="1"/>
  <c r="R447" i="1"/>
  <c r="Q447" i="1"/>
  <c r="P447" i="1"/>
  <c r="L447" i="1"/>
  <c r="K447" i="1"/>
  <c r="I447" i="1"/>
  <c r="G447" i="1"/>
  <c r="R446" i="1"/>
  <c r="Q446" i="1"/>
  <c r="P446" i="1"/>
  <c r="L446" i="1"/>
  <c r="K446" i="1"/>
  <c r="I446" i="1"/>
  <c r="G446" i="1"/>
  <c r="R445" i="1"/>
  <c r="Q445" i="1"/>
  <c r="P445" i="1"/>
  <c r="L445" i="1"/>
  <c r="K445" i="1"/>
  <c r="I445" i="1"/>
  <c r="G445" i="1"/>
  <c r="R444" i="1"/>
  <c r="Q444" i="1"/>
  <c r="P444" i="1"/>
  <c r="L444" i="1"/>
  <c r="K444" i="1"/>
  <c r="I444" i="1"/>
  <c r="G444" i="1"/>
  <c r="R443" i="1"/>
  <c r="Q443" i="1"/>
  <c r="P443" i="1"/>
  <c r="L443" i="1"/>
  <c r="K443" i="1"/>
  <c r="I443" i="1"/>
  <c r="G443" i="1"/>
  <c r="R442" i="1"/>
  <c r="Q442" i="1"/>
  <c r="P442" i="1"/>
  <c r="L442" i="1"/>
  <c r="K442" i="1"/>
  <c r="I442" i="1"/>
  <c r="G442" i="1"/>
  <c r="R441" i="1"/>
  <c r="Q441" i="1"/>
  <c r="P441" i="1"/>
  <c r="L441" i="1"/>
  <c r="K441" i="1"/>
  <c r="I441" i="1"/>
  <c r="G441" i="1"/>
  <c r="R440" i="1"/>
  <c r="Q440" i="1"/>
  <c r="P440" i="1"/>
  <c r="L440" i="1"/>
  <c r="K440" i="1"/>
  <c r="I440" i="1"/>
  <c r="G440" i="1"/>
  <c r="R439" i="1"/>
  <c r="Q439" i="1"/>
  <c r="P439" i="1"/>
  <c r="L439" i="1"/>
  <c r="K439" i="1"/>
  <c r="I439" i="1"/>
  <c r="G439" i="1"/>
  <c r="R438" i="1"/>
  <c r="Q438" i="1"/>
  <c r="P438" i="1"/>
  <c r="L438" i="1"/>
  <c r="K438" i="1"/>
  <c r="I438" i="1"/>
  <c r="G438" i="1"/>
  <c r="R437" i="1"/>
  <c r="Q437" i="1"/>
  <c r="P437" i="1"/>
  <c r="L437" i="1"/>
  <c r="K437" i="1"/>
  <c r="I437" i="1"/>
  <c r="G437" i="1"/>
  <c r="R436" i="1"/>
  <c r="Q436" i="1"/>
  <c r="P436" i="1"/>
  <c r="L436" i="1"/>
  <c r="K436" i="1"/>
  <c r="I436" i="1"/>
  <c r="G436" i="1"/>
  <c r="R435" i="1"/>
  <c r="Q435" i="1"/>
  <c r="P435" i="1"/>
  <c r="L435" i="1"/>
  <c r="K435" i="1"/>
  <c r="I435" i="1"/>
  <c r="G435" i="1"/>
  <c r="R434" i="1"/>
  <c r="Q434" i="1"/>
  <c r="P434" i="1"/>
  <c r="L434" i="1"/>
  <c r="K434" i="1"/>
  <c r="I434" i="1"/>
  <c r="G434" i="1"/>
  <c r="R433" i="1"/>
  <c r="Q433" i="1"/>
  <c r="P433" i="1"/>
  <c r="L433" i="1"/>
  <c r="K433" i="1"/>
  <c r="I433" i="1"/>
  <c r="G433" i="1"/>
  <c r="R432" i="1"/>
  <c r="Q432" i="1"/>
  <c r="P432" i="1"/>
  <c r="L432" i="1"/>
  <c r="K432" i="1"/>
  <c r="I432" i="1"/>
  <c r="G432" i="1"/>
  <c r="R431" i="1"/>
  <c r="Q431" i="1"/>
  <c r="P431" i="1"/>
  <c r="L431" i="1"/>
  <c r="K431" i="1"/>
  <c r="I431" i="1"/>
  <c r="G431" i="1"/>
  <c r="R430" i="1"/>
  <c r="Q430" i="1"/>
  <c r="P430" i="1"/>
  <c r="L430" i="1"/>
  <c r="K430" i="1"/>
  <c r="I430" i="1"/>
  <c r="G430" i="1"/>
  <c r="R429" i="1"/>
  <c r="Q429" i="1"/>
  <c r="P429" i="1"/>
  <c r="L429" i="1"/>
  <c r="K429" i="1"/>
  <c r="I429" i="1"/>
  <c r="G429" i="1"/>
  <c r="R428" i="1"/>
  <c r="Q428" i="1"/>
  <c r="P428" i="1"/>
  <c r="L428" i="1"/>
  <c r="K428" i="1"/>
  <c r="I428" i="1"/>
  <c r="G428" i="1"/>
  <c r="R427" i="1"/>
  <c r="Q427" i="1"/>
  <c r="P427" i="1"/>
  <c r="L427" i="1"/>
  <c r="K427" i="1"/>
  <c r="I427" i="1"/>
  <c r="G427" i="1"/>
  <c r="R426" i="1"/>
  <c r="Q426" i="1"/>
  <c r="P426" i="1"/>
  <c r="L426" i="1"/>
  <c r="K426" i="1"/>
  <c r="I426" i="1"/>
  <c r="G426" i="1"/>
  <c r="R425" i="1"/>
  <c r="Q425" i="1"/>
  <c r="P425" i="1"/>
  <c r="L425" i="1"/>
  <c r="K425" i="1"/>
  <c r="I425" i="1"/>
  <c r="G425" i="1"/>
  <c r="R424" i="1"/>
  <c r="Q424" i="1"/>
  <c r="P424" i="1"/>
  <c r="L424" i="1"/>
  <c r="K424" i="1"/>
  <c r="I424" i="1"/>
  <c r="G424" i="1"/>
  <c r="R423" i="1"/>
  <c r="Q423" i="1"/>
  <c r="P423" i="1"/>
  <c r="L423" i="1"/>
  <c r="K423" i="1"/>
  <c r="I423" i="1"/>
  <c r="G423" i="1"/>
  <c r="R422" i="1"/>
  <c r="Q422" i="1"/>
  <c r="P422" i="1"/>
  <c r="L422" i="1"/>
  <c r="K422" i="1"/>
  <c r="I422" i="1"/>
  <c r="G422" i="1"/>
  <c r="R421" i="1"/>
  <c r="Q421" i="1"/>
  <c r="P421" i="1"/>
  <c r="L421" i="1"/>
  <c r="K421" i="1"/>
  <c r="I421" i="1"/>
  <c r="G421" i="1"/>
  <c r="R420" i="1"/>
  <c r="Q420" i="1"/>
  <c r="P420" i="1"/>
  <c r="L420" i="1"/>
  <c r="K420" i="1"/>
  <c r="I420" i="1"/>
  <c r="G420" i="1"/>
  <c r="R419" i="1"/>
  <c r="Q419" i="1"/>
  <c r="P419" i="1"/>
  <c r="L419" i="1"/>
  <c r="K419" i="1"/>
  <c r="I419" i="1"/>
  <c r="G419" i="1"/>
  <c r="R418" i="1"/>
  <c r="Q418" i="1"/>
  <c r="P418" i="1"/>
  <c r="L418" i="1"/>
  <c r="K418" i="1"/>
  <c r="I418" i="1"/>
  <c r="G418" i="1"/>
  <c r="R417" i="1"/>
  <c r="Q417" i="1"/>
  <c r="P417" i="1"/>
  <c r="L417" i="1"/>
  <c r="K417" i="1"/>
  <c r="I417" i="1"/>
  <c r="G417" i="1"/>
  <c r="R416" i="1"/>
  <c r="Q416" i="1"/>
  <c r="P416" i="1"/>
  <c r="L416" i="1"/>
  <c r="K416" i="1"/>
  <c r="I416" i="1"/>
  <c r="G416" i="1"/>
  <c r="R415" i="1"/>
  <c r="Q415" i="1"/>
  <c r="P415" i="1"/>
  <c r="L415" i="1"/>
  <c r="K415" i="1"/>
  <c r="I415" i="1"/>
  <c r="G415" i="1"/>
  <c r="R414" i="1"/>
  <c r="Q414" i="1"/>
  <c r="P414" i="1"/>
  <c r="L414" i="1"/>
  <c r="K414" i="1"/>
  <c r="I414" i="1"/>
  <c r="G414" i="1"/>
  <c r="R413" i="1"/>
  <c r="Q413" i="1"/>
  <c r="P413" i="1"/>
  <c r="L413" i="1"/>
  <c r="K413" i="1"/>
  <c r="I413" i="1"/>
  <c r="G413" i="1"/>
  <c r="R412" i="1"/>
  <c r="Q412" i="1"/>
  <c r="P412" i="1"/>
  <c r="L412" i="1"/>
  <c r="K412" i="1"/>
  <c r="I412" i="1"/>
  <c r="G412" i="1"/>
  <c r="R411" i="1"/>
  <c r="Q411" i="1"/>
  <c r="P411" i="1"/>
  <c r="L411" i="1"/>
  <c r="K411" i="1"/>
  <c r="I411" i="1"/>
  <c r="G411" i="1"/>
  <c r="R410" i="1"/>
  <c r="Q410" i="1"/>
  <c r="P410" i="1"/>
  <c r="L410" i="1"/>
  <c r="K410" i="1"/>
  <c r="I410" i="1"/>
  <c r="G410" i="1"/>
  <c r="R409" i="1"/>
  <c r="Q409" i="1"/>
  <c r="P409" i="1"/>
  <c r="L409" i="1"/>
  <c r="K409" i="1"/>
  <c r="I409" i="1"/>
  <c r="G409" i="1"/>
  <c r="R408" i="1"/>
  <c r="Q408" i="1"/>
  <c r="P408" i="1"/>
  <c r="L408" i="1"/>
  <c r="K408" i="1"/>
  <c r="I408" i="1"/>
  <c r="G408" i="1"/>
  <c r="R407" i="1"/>
  <c r="Q407" i="1"/>
  <c r="P407" i="1"/>
  <c r="L407" i="1"/>
  <c r="K407" i="1"/>
  <c r="I407" i="1"/>
  <c r="G407" i="1"/>
  <c r="R406" i="1"/>
  <c r="Q406" i="1"/>
  <c r="P406" i="1"/>
  <c r="L406" i="1"/>
  <c r="K406" i="1"/>
  <c r="I406" i="1"/>
  <c r="G406" i="1"/>
  <c r="R405" i="1"/>
  <c r="Q405" i="1"/>
  <c r="P405" i="1"/>
  <c r="L405" i="1"/>
  <c r="K405" i="1"/>
  <c r="I405" i="1"/>
  <c r="G405" i="1"/>
  <c r="R404" i="1"/>
  <c r="Q404" i="1"/>
  <c r="P404" i="1"/>
  <c r="L404" i="1"/>
  <c r="K404" i="1"/>
  <c r="I404" i="1"/>
  <c r="G404" i="1"/>
  <c r="R403" i="1"/>
  <c r="Q403" i="1"/>
  <c r="P403" i="1"/>
  <c r="L403" i="1"/>
  <c r="K403" i="1"/>
  <c r="I403" i="1"/>
  <c r="G403" i="1"/>
  <c r="R402" i="1"/>
  <c r="Q402" i="1"/>
  <c r="P402" i="1"/>
  <c r="L402" i="1"/>
  <c r="K402" i="1"/>
  <c r="I402" i="1"/>
  <c r="G402" i="1"/>
  <c r="R401" i="1"/>
  <c r="Q401" i="1"/>
  <c r="P401" i="1"/>
  <c r="L401" i="1"/>
  <c r="K401" i="1"/>
  <c r="I401" i="1"/>
  <c r="G401" i="1"/>
  <c r="R400" i="1"/>
  <c r="Q400" i="1"/>
  <c r="O400" i="1"/>
  <c r="N400" i="1"/>
  <c r="M400" i="1"/>
  <c r="K400" i="1"/>
  <c r="J400" i="1"/>
  <c r="I400" i="1"/>
  <c r="G400" i="1"/>
  <c r="R399" i="1"/>
  <c r="Q399" i="1"/>
  <c r="O399" i="1"/>
  <c r="N399" i="1"/>
  <c r="M399" i="1"/>
  <c r="K399" i="1"/>
  <c r="J399" i="1"/>
  <c r="I399" i="1"/>
  <c r="G399" i="1"/>
  <c r="R398" i="1"/>
  <c r="Q398" i="1"/>
  <c r="O398" i="1"/>
  <c r="N398" i="1"/>
  <c r="M398" i="1"/>
  <c r="K398" i="1"/>
  <c r="J398" i="1"/>
  <c r="I398" i="1"/>
  <c r="G398" i="1"/>
  <c r="R397" i="1"/>
  <c r="Q397" i="1"/>
  <c r="O397" i="1"/>
  <c r="N397" i="1"/>
  <c r="M397" i="1"/>
  <c r="K397" i="1"/>
  <c r="J397" i="1"/>
  <c r="I397" i="1"/>
  <c r="G397" i="1"/>
  <c r="R396" i="1"/>
  <c r="Q396" i="1"/>
  <c r="O396" i="1"/>
  <c r="N396" i="1"/>
  <c r="M396" i="1"/>
  <c r="K396" i="1"/>
  <c r="J396" i="1"/>
  <c r="I396" i="1"/>
  <c r="G396" i="1"/>
  <c r="R395" i="1"/>
  <c r="Q395" i="1"/>
  <c r="O395" i="1"/>
  <c r="N395" i="1"/>
  <c r="M395" i="1"/>
  <c r="K395" i="1"/>
  <c r="J395" i="1"/>
  <c r="I395" i="1"/>
  <c r="G395" i="1"/>
  <c r="R394" i="1"/>
  <c r="Q394" i="1"/>
  <c r="O394" i="1"/>
  <c r="N394" i="1"/>
  <c r="M394" i="1"/>
  <c r="K394" i="1"/>
  <c r="J394" i="1"/>
  <c r="I394" i="1"/>
  <c r="G394" i="1"/>
  <c r="R393" i="1"/>
  <c r="Q393" i="1"/>
  <c r="O393" i="1"/>
  <c r="N393" i="1"/>
  <c r="M393" i="1"/>
  <c r="K393" i="1"/>
  <c r="J393" i="1"/>
  <c r="I393" i="1"/>
  <c r="G393" i="1"/>
  <c r="R392" i="1"/>
  <c r="Q392" i="1"/>
  <c r="O392" i="1"/>
  <c r="N392" i="1"/>
  <c r="M392" i="1"/>
  <c r="K392" i="1"/>
  <c r="J392" i="1"/>
  <c r="I392" i="1"/>
  <c r="G392" i="1"/>
  <c r="R391" i="1"/>
  <c r="Q391" i="1"/>
  <c r="O391" i="1"/>
  <c r="N391" i="1"/>
  <c r="M391" i="1"/>
  <c r="K391" i="1"/>
  <c r="J391" i="1"/>
  <c r="I391" i="1"/>
  <c r="G391" i="1"/>
  <c r="R390" i="1"/>
  <c r="Q390" i="1"/>
  <c r="O390" i="1"/>
  <c r="N390" i="1"/>
  <c r="M390" i="1"/>
  <c r="K390" i="1"/>
  <c r="J390" i="1"/>
  <c r="I390" i="1"/>
  <c r="G390" i="1"/>
  <c r="R389" i="1"/>
  <c r="Q389" i="1"/>
  <c r="O389" i="1"/>
  <c r="N389" i="1"/>
  <c r="M389" i="1"/>
  <c r="K389" i="1"/>
  <c r="J389" i="1"/>
  <c r="I389" i="1"/>
  <c r="G389" i="1"/>
  <c r="R388" i="1"/>
  <c r="Q388" i="1"/>
  <c r="O388" i="1"/>
  <c r="N388" i="1"/>
  <c r="M388" i="1"/>
  <c r="K388" i="1"/>
  <c r="J388" i="1"/>
  <c r="I388" i="1"/>
  <c r="G388" i="1"/>
  <c r="R387" i="1"/>
  <c r="Q387" i="1"/>
  <c r="O387" i="1"/>
  <c r="N387" i="1"/>
  <c r="M387" i="1"/>
  <c r="K387" i="1"/>
  <c r="J387" i="1"/>
  <c r="I387" i="1"/>
  <c r="G387" i="1"/>
  <c r="R386" i="1"/>
  <c r="Q386" i="1"/>
  <c r="O386" i="1"/>
  <c r="N386" i="1"/>
  <c r="M386" i="1"/>
  <c r="K386" i="1"/>
  <c r="J386" i="1"/>
  <c r="I386" i="1"/>
  <c r="G386" i="1"/>
  <c r="R385" i="1"/>
  <c r="Q385" i="1"/>
  <c r="O385" i="1"/>
  <c r="N385" i="1"/>
  <c r="M385" i="1"/>
  <c r="K385" i="1"/>
  <c r="J385" i="1"/>
  <c r="I385" i="1"/>
  <c r="G385" i="1"/>
  <c r="R384" i="1"/>
  <c r="Q384" i="1"/>
  <c r="O384" i="1"/>
  <c r="N384" i="1"/>
  <c r="M384" i="1"/>
  <c r="K384" i="1"/>
  <c r="J384" i="1"/>
  <c r="I384" i="1"/>
  <c r="G384" i="1"/>
  <c r="R383" i="1"/>
  <c r="Q383" i="1"/>
  <c r="O383" i="1"/>
  <c r="N383" i="1"/>
  <c r="M383" i="1"/>
  <c r="K383" i="1"/>
  <c r="J383" i="1"/>
  <c r="I383" i="1"/>
  <c r="G383" i="1"/>
  <c r="R382" i="1"/>
  <c r="Q382" i="1"/>
  <c r="O382" i="1"/>
  <c r="N382" i="1"/>
  <c r="M382" i="1"/>
  <c r="K382" i="1"/>
  <c r="J382" i="1"/>
  <c r="I382" i="1"/>
  <c r="G382" i="1"/>
  <c r="R381" i="1"/>
  <c r="Q381" i="1"/>
  <c r="O381" i="1"/>
  <c r="N381" i="1"/>
  <c r="M381" i="1"/>
  <c r="K381" i="1"/>
  <c r="J381" i="1"/>
  <c r="I381" i="1"/>
  <c r="G381" i="1"/>
  <c r="R380" i="1"/>
  <c r="Q380" i="1"/>
  <c r="O380" i="1"/>
  <c r="N380" i="1"/>
  <c r="M380" i="1"/>
  <c r="K380" i="1"/>
  <c r="J380" i="1"/>
  <c r="I380" i="1"/>
  <c r="G380" i="1"/>
  <c r="R379" i="1"/>
  <c r="Q379" i="1"/>
  <c r="O379" i="1"/>
  <c r="N379" i="1"/>
  <c r="M379" i="1"/>
  <c r="K379" i="1"/>
  <c r="J379" i="1"/>
  <c r="I379" i="1"/>
  <c r="G379" i="1"/>
  <c r="R378" i="1"/>
  <c r="Q378" i="1"/>
  <c r="O378" i="1"/>
  <c r="N378" i="1"/>
  <c r="M378" i="1"/>
  <c r="K378" i="1"/>
  <c r="J378" i="1"/>
  <c r="I378" i="1"/>
  <c r="G378" i="1"/>
  <c r="R377" i="1"/>
  <c r="Q377" i="1"/>
  <c r="O377" i="1"/>
  <c r="N377" i="1"/>
  <c r="M377" i="1"/>
  <c r="K377" i="1"/>
  <c r="J377" i="1"/>
  <c r="I377" i="1"/>
  <c r="G377" i="1"/>
  <c r="R376" i="1"/>
  <c r="Q376" i="1"/>
  <c r="O376" i="1"/>
  <c r="N376" i="1"/>
  <c r="M376" i="1"/>
  <c r="K376" i="1"/>
  <c r="J376" i="1"/>
  <c r="I376" i="1"/>
  <c r="G376" i="1"/>
  <c r="R375" i="1"/>
  <c r="Q375" i="1"/>
  <c r="O375" i="1"/>
  <c r="N375" i="1"/>
  <c r="M375" i="1"/>
  <c r="K375" i="1"/>
  <c r="J375" i="1"/>
  <c r="I375" i="1"/>
  <c r="G375" i="1"/>
  <c r="R374" i="1"/>
  <c r="Q374" i="1"/>
  <c r="O374" i="1"/>
  <c r="N374" i="1"/>
  <c r="M374" i="1"/>
  <c r="K374" i="1"/>
  <c r="J374" i="1"/>
  <c r="I374" i="1"/>
  <c r="G374" i="1"/>
  <c r="R373" i="1"/>
  <c r="Q373" i="1"/>
  <c r="O373" i="1"/>
  <c r="N373" i="1"/>
  <c r="M373" i="1"/>
  <c r="K373" i="1"/>
  <c r="J373" i="1"/>
  <c r="I373" i="1"/>
  <c r="G373" i="1"/>
  <c r="R372" i="1"/>
  <c r="Q372" i="1"/>
  <c r="O372" i="1"/>
  <c r="N372" i="1"/>
  <c r="M372" i="1"/>
  <c r="K372" i="1"/>
  <c r="J372" i="1"/>
  <c r="I372" i="1"/>
  <c r="G372" i="1"/>
  <c r="R371" i="1"/>
  <c r="Q371" i="1"/>
  <c r="O371" i="1"/>
  <c r="N371" i="1"/>
  <c r="M371" i="1"/>
  <c r="K371" i="1"/>
  <c r="J371" i="1"/>
  <c r="I371" i="1"/>
  <c r="G371" i="1"/>
  <c r="R370" i="1"/>
  <c r="Q370" i="1"/>
  <c r="O370" i="1"/>
  <c r="N370" i="1"/>
  <c r="M370" i="1"/>
  <c r="K370" i="1"/>
  <c r="J370" i="1"/>
  <c r="I370" i="1"/>
  <c r="G370" i="1"/>
  <c r="R369" i="1"/>
  <c r="Q369" i="1"/>
  <c r="O369" i="1"/>
  <c r="N369" i="1"/>
  <c r="M369" i="1"/>
  <c r="K369" i="1"/>
  <c r="J369" i="1"/>
  <c r="I369" i="1"/>
  <c r="G369" i="1"/>
  <c r="R368" i="1"/>
  <c r="Q368" i="1"/>
  <c r="O368" i="1"/>
  <c r="N368" i="1"/>
  <c r="M368" i="1"/>
  <c r="K368" i="1"/>
  <c r="J368" i="1"/>
  <c r="I368" i="1"/>
  <c r="G368" i="1"/>
  <c r="R367" i="1"/>
  <c r="Q367" i="1"/>
  <c r="O367" i="1"/>
  <c r="N367" i="1"/>
  <c r="M367" i="1"/>
  <c r="K367" i="1"/>
  <c r="J367" i="1"/>
  <c r="I367" i="1"/>
  <c r="G367" i="1"/>
  <c r="R366" i="1"/>
  <c r="Q366" i="1"/>
  <c r="O366" i="1"/>
  <c r="N366" i="1"/>
  <c r="M366" i="1"/>
  <c r="K366" i="1"/>
  <c r="J366" i="1"/>
  <c r="I366" i="1"/>
  <c r="G366" i="1"/>
  <c r="R365" i="1"/>
  <c r="Q365" i="1"/>
  <c r="O365" i="1"/>
  <c r="N365" i="1"/>
  <c r="M365" i="1"/>
  <c r="K365" i="1"/>
  <c r="J365" i="1"/>
  <c r="I365" i="1"/>
  <c r="G365" i="1"/>
  <c r="R364" i="1"/>
  <c r="Q364" i="1"/>
  <c r="O364" i="1"/>
  <c r="N364" i="1"/>
  <c r="M364" i="1"/>
  <c r="K364" i="1"/>
  <c r="J364" i="1"/>
  <c r="I364" i="1"/>
  <c r="G364" i="1"/>
  <c r="R363" i="1"/>
  <c r="Q363" i="1"/>
  <c r="O363" i="1"/>
  <c r="N363" i="1"/>
  <c r="M363" i="1"/>
  <c r="K363" i="1"/>
  <c r="J363" i="1"/>
  <c r="I363" i="1"/>
  <c r="G363" i="1"/>
  <c r="R362" i="1"/>
  <c r="Q362" i="1"/>
  <c r="O362" i="1"/>
  <c r="N362" i="1"/>
  <c r="M362" i="1"/>
  <c r="K362" i="1"/>
  <c r="J362" i="1"/>
  <c r="I362" i="1"/>
  <c r="G362" i="1"/>
  <c r="R361" i="1"/>
  <c r="Q361" i="1"/>
  <c r="O361" i="1"/>
  <c r="N361" i="1"/>
  <c r="M361" i="1"/>
  <c r="K361" i="1"/>
  <c r="J361" i="1"/>
  <c r="I361" i="1"/>
  <c r="G361" i="1"/>
  <c r="R360" i="1"/>
  <c r="Q360" i="1"/>
  <c r="O360" i="1"/>
  <c r="N360" i="1"/>
  <c r="M360" i="1"/>
  <c r="K360" i="1"/>
  <c r="J360" i="1"/>
  <c r="I360" i="1"/>
  <c r="G360" i="1"/>
  <c r="R359" i="1"/>
  <c r="Q359" i="1"/>
  <c r="O359" i="1"/>
  <c r="N359" i="1"/>
  <c r="M359" i="1"/>
  <c r="K359" i="1"/>
  <c r="J359" i="1"/>
  <c r="I359" i="1"/>
  <c r="G359" i="1"/>
  <c r="R358" i="1"/>
  <c r="Q358" i="1"/>
  <c r="O358" i="1"/>
  <c r="N358" i="1"/>
  <c r="M358" i="1"/>
  <c r="K358" i="1"/>
  <c r="J358" i="1"/>
  <c r="I358" i="1"/>
  <c r="G358" i="1"/>
  <c r="R357" i="1"/>
  <c r="Q357" i="1"/>
  <c r="O357" i="1"/>
  <c r="N357" i="1"/>
  <c r="M357" i="1"/>
  <c r="K357" i="1"/>
  <c r="J357" i="1"/>
  <c r="I357" i="1"/>
  <c r="G357" i="1"/>
  <c r="R356" i="1"/>
  <c r="Q356" i="1"/>
  <c r="O356" i="1"/>
  <c r="N356" i="1"/>
  <c r="M356" i="1"/>
  <c r="K356" i="1"/>
  <c r="J356" i="1"/>
  <c r="I356" i="1"/>
  <c r="G356" i="1"/>
  <c r="R355" i="1"/>
  <c r="Q355" i="1"/>
  <c r="O355" i="1"/>
  <c r="N355" i="1"/>
  <c r="M355" i="1"/>
  <c r="K355" i="1"/>
  <c r="J355" i="1"/>
  <c r="I355" i="1"/>
  <c r="G355" i="1"/>
  <c r="R354" i="1"/>
  <c r="Q354" i="1"/>
  <c r="O354" i="1"/>
  <c r="N354" i="1"/>
  <c r="M354" i="1"/>
  <c r="K354" i="1"/>
  <c r="J354" i="1"/>
  <c r="I354" i="1"/>
  <c r="G354" i="1"/>
  <c r="R353" i="1"/>
  <c r="Q353" i="1"/>
  <c r="O353" i="1"/>
  <c r="N353" i="1"/>
  <c r="M353" i="1"/>
  <c r="K353" i="1"/>
  <c r="J353" i="1"/>
  <c r="I353" i="1"/>
  <c r="G353" i="1"/>
  <c r="R352" i="1"/>
  <c r="Q352" i="1"/>
  <c r="O352" i="1"/>
  <c r="N352" i="1"/>
  <c r="M352" i="1"/>
  <c r="K352" i="1"/>
  <c r="J352" i="1"/>
  <c r="I352" i="1"/>
  <c r="G352" i="1"/>
  <c r="R351" i="1"/>
  <c r="Q351" i="1"/>
  <c r="O351" i="1"/>
  <c r="N351" i="1"/>
  <c r="M351" i="1"/>
  <c r="K351" i="1"/>
  <c r="J351" i="1"/>
  <c r="I351" i="1"/>
  <c r="G351" i="1"/>
  <c r="R350" i="1"/>
  <c r="Q350" i="1"/>
  <c r="O350" i="1"/>
  <c r="N350" i="1"/>
  <c r="M350" i="1"/>
  <c r="K350" i="1"/>
  <c r="J350" i="1"/>
  <c r="I350" i="1"/>
  <c r="G350" i="1"/>
  <c r="R349" i="1"/>
  <c r="Q349" i="1"/>
  <c r="O349" i="1"/>
  <c r="N349" i="1"/>
  <c r="M349" i="1"/>
  <c r="K349" i="1"/>
  <c r="J349" i="1"/>
  <c r="I349" i="1"/>
  <c r="G349" i="1"/>
  <c r="R348" i="1"/>
  <c r="Q348" i="1"/>
  <c r="O348" i="1"/>
  <c r="N348" i="1"/>
  <c r="M348" i="1"/>
  <c r="K348" i="1"/>
  <c r="J348" i="1"/>
  <c r="I348" i="1"/>
  <c r="G348" i="1"/>
  <c r="R347" i="1"/>
  <c r="Q347" i="1"/>
  <c r="O347" i="1"/>
  <c r="N347" i="1"/>
  <c r="M347" i="1"/>
  <c r="K347" i="1"/>
  <c r="J347" i="1"/>
  <c r="I347" i="1"/>
  <c r="G347" i="1"/>
  <c r="R346" i="1"/>
  <c r="Q346" i="1"/>
  <c r="O346" i="1"/>
  <c r="N346" i="1"/>
  <c r="M346" i="1"/>
  <c r="K346" i="1"/>
  <c r="J346" i="1"/>
  <c r="I346" i="1"/>
  <c r="G346" i="1"/>
  <c r="R345" i="1"/>
  <c r="Q345" i="1"/>
  <c r="O345" i="1"/>
  <c r="N345" i="1"/>
  <c r="M345" i="1"/>
  <c r="K345" i="1"/>
  <c r="J345" i="1"/>
  <c r="I345" i="1"/>
  <c r="G345" i="1"/>
  <c r="Q344" i="1"/>
  <c r="N344" i="1"/>
  <c r="M344" i="1"/>
  <c r="K344" i="1"/>
  <c r="J344" i="1"/>
  <c r="I344" i="1"/>
  <c r="G344" i="1"/>
  <c r="R343" i="1"/>
  <c r="Q343" i="1"/>
  <c r="O343" i="1"/>
  <c r="N343" i="1"/>
  <c r="M343" i="1"/>
  <c r="K343" i="1"/>
  <c r="J343" i="1"/>
  <c r="I343" i="1"/>
  <c r="G343" i="1"/>
  <c r="R342" i="1"/>
  <c r="Q342" i="1"/>
  <c r="O342" i="1"/>
  <c r="N342" i="1"/>
  <c r="M342" i="1"/>
  <c r="K342" i="1"/>
  <c r="J342" i="1"/>
  <c r="I342" i="1"/>
  <c r="G342" i="1"/>
  <c r="R341" i="1"/>
  <c r="Q341" i="1"/>
  <c r="O341" i="1"/>
  <c r="N341" i="1"/>
  <c r="M341" i="1"/>
  <c r="K341" i="1"/>
  <c r="J341" i="1"/>
  <c r="I341" i="1"/>
  <c r="G341" i="1"/>
  <c r="R340" i="1"/>
  <c r="Q340" i="1"/>
  <c r="O340" i="1"/>
  <c r="N340" i="1"/>
  <c r="M340" i="1"/>
  <c r="K340" i="1"/>
  <c r="J340" i="1"/>
  <c r="I340" i="1"/>
  <c r="G340" i="1"/>
  <c r="R339" i="1"/>
  <c r="Q339" i="1"/>
  <c r="O339" i="1"/>
  <c r="N339" i="1"/>
  <c r="M339" i="1"/>
  <c r="K339" i="1"/>
  <c r="J339" i="1"/>
  <c r="I339" i="1"/>
  <c r="G339" i="1"/>
  <c r="R338" i="1"/>
  <c r="Q338" i="1"/>
  <c r="O338" i="1"/>
  <c r="N338" i="1"/>
  <c r="M338" i="1"/>
  <c r="K338" i="1"/>
  <c r="J338" i="1"/>
  <c r="I338" i="1"/>
  <c r="G338" i="1"/>
  <c r="R337" i="1"/>
  <c r="Q337" i="1"/>
  <c r="O337" i="1"/>
  <c r="N337" i="1"/>
  <c r="M337" i="1"/>
  <c r="K337" i="1"/>
  <c r="I337" i="1"/>
  <c r="G337" i="1"/>
  <c r="R336" i="1"/>
  <c r="Q336" i="1"/>
  <c r="O336" i="1"/>
  <c r="N336" i="1"/>
  <c r="M336" i="1"/>
  <c r="K336" i="1"/>
  <c r="I336" i="1"/>
  <c r="G336" i="1"/>
  <c r="R335" i="1"/>
  <c r="Q335" i="1"/>
  <c r="O335" i="1"/>
  <c r="N335" i="1"/>
  <c r="M335" i="1"/>
  <c r="K335" i="1"/>
  <c r="I335" i="1"/>
  <c r="G335" i="1"/>
  <c r="R334" i="1"/>
  <c r="Q334" i="1"/>
  <c r="O334" i="1"/>
  <c r="N334" i="1"/>
  <c r="M334" i="1"/>
  <c r="K334" i="1"/>
  <c r="I334" i="1"/>
  <c r="G334" i="1"/>
  <c r="R333" i="1"/>
  <c r="Q333" i="1"/>
  <c r="O333" i="1"/>
  <c r="N333" i="1"/>
  <c r="M333" i="1"/>
  <c r="K333" i="1"/>
  <c r="I333" i="1"/>
  <c r="G333" i="1"/>
  <c r="R332" i="1"/>
  <c r="Q332" i="1"/>
  <c r="O332" i="1"/>
  <c r="N332" i="1"/>
  <c r="M332" i="1"/>
  <c r="K332" i="1"/>
  <c r="I332" i="1"/>
  <c r="G332" i="1"/>
  <c r="R331" i="1"/>
  <c r="Q331" i="1"/>
  <c r="O331" i="1"/>
  <c r="N331" i="1"/>
  <c r="M331" i="1"/>
  <c r="K331" i="1"/>
  <c r="I331" i="1"/>
  <c r="G331" i="1"/>
  <c r="R330" i="1"/>
  <c r="Q330" i="1"/>
  <c r="O330" i="1"/>
  <c r="N330" i="1"/>
  <c r="M330" i="1"/>
  <c r="K330" i="1"/>
  <c r="I330" i="1"/>
  <c r="G330" i="1"/>
  <c r="R329" i="1"/>
  <c r="Q329" i="1"/>
  <c r="O329" i="1"/>
  <c r="N329" i="1"/>
  <c r="M329" i="1"/>
  <c r="K329" i="1"/>
  <c r="I329" i="1"/>
  <c r="G329" i="1"/>
  <c r="R328" i="1"/>
  <c r="Q328" i="1"/>
  <c r="O328" i="1"/>
  <c r="N328" i="1"/>
  <c r="M328" i="1"/>
  <c r="K328" i="1"/>
  <c r="I328" i="1"/>
  <c r="G328" i="1"/>
  <c r="R327" i="1"/>
  <c r="Q327" i="1"/>
  <c r="O327" i="1"/>
  <c r="N327" i="1"/>
  <c r="M327" i="1"/>
  <c r="K327" i="1"/>
  <c r="I327" i="1"/>
  <c r="G327" i="1"/>
  <c r="R326" i="1"/>
  <c r="Q326" i="1"/>
  <c r="O326" i="1"/>
  <c r="N326" i="1"/>
  <c r="M326" i="1"/>
  <c r="K326" i="1"/>
  <c r="I326" i="1"/>
  <c r="G326" i="1"/>
  <c r="R325" i="1"/>
  <c r="Q325" i="1"/>
  <c r="O325" i="1"/>
  <c r="N325" i="1"/>
  <c r="M325" i="1"/>
  <c r="K325" i="1"/>
  <c r="I325" i="1"/>
  <c r="G325" i="1"/>
  <c r="R324" i="1"/>
  <c r="Q324" i="1"/>
  <c r="O324" i="1"/>
  <c r="N324" i="1"/>
  <c r="M324" i="1"/>
  <c r="K324" i="1"/>
  <c r="I324" i="1"/>
  <c r="G324" i="1"/>
  <c r="R323" i="1"/>
  <c r="Q323" i="1"/>
  <c r="O323" i="1"/>
  <c r="N323" i="1"/>
  <c r="M323" i="1"/>
  <c r="K323" i="1"/>
  <c r="I323" i="1"/>
  <c r="G323" i="1"/>
  <c r="R322" i="1"/>
  <c r="Q322" i="1"/>
  <c r="O322" i="1"/>
  <c r="N322" i="1"/>
  <c r="M322" i="1"/>
  <c r="K322" i="1"/>
  <c r="I322" i="1"/>
  <c r="G322" i="1"/>
  <c r="R321" i="1"/>
  <c r="Q321" i="1"/>
  <c r="O321" i="1"/>
  <c r="N321" i="1"/>
  <c r="M321" i="1"/>
  <c r="K321" i="1"/>
  <c r="I321" i="1"/>
  <c r="G321" i="1"/>
  <c r="R320" i="1"/>
  <c r="Q320" i="1"/>
  <c r="O320" i="1"/>
  <c r="N320" i="1"/>
  <c r="M320" i="1"/>
  <c r="K320" i="1"/>
  <c r="I320" i="1"/>
  <c r="G320" i="1"/>
  <c r="R319" i="1"/>
  <c r="Q319" i="1"/>
  <c r="O319" i="1"/>
  <c r="N319" i="1"/>
  <c r="M319" i="1"/>
  <c r="K319" i="1"/>
  <c r="I319" i="1"/>
  <c r="G319" i="1"/>
  <c r="R318" i="1"/>
  <c r="Q318" i="1"/>
  <c r="O318" i="1"/>
  <c r="N318" i="1"/>
  <c r="M318" i="1"/>
  <c r="K318" i="1"/>
  <c r="I318" i="1"/>
  <c r="G318" i="1"/>
  <c r="R317" i="1"/>
  <c r="Q317" i="1"/>
  <c r="O317" i="1"/>
  <c r="N317" i="1"/>
  <c r="M317" i="1"/>
  <c r="K317" i="1"/>
  <c r="I317" i="1"/>
  <c r="G317" i="1"/>
  <c r="R316" i="1"/>
  <c r="Q316" i="1"/>
  <c r="O316" i="1"/>
  <c r="N316" i="1"/>
  <c r="M316" i="1"/>
  <c r="K316" i="1"/>
  <c r="I316" i="1"/>
  <c r="G316" i="1"/>
  <c r="R315" i="1"/>
  <c r="Q315" i="1"/>
  <c r="O315" i="1"/>
  <c r="N315" i="1"/>
  <c r="M315" i="1"/>
  <c r="K315" i="1"/>
  <c r="I315" i="1"/>
  <c r="G315" i="1"/>
  <c r="R314" i="1"/>
  <c r="Q314" i="1"/>
  <c r="O314" i="1"/>
  <c r="N314" i="1"/>
  <c r="M314" i="1"/>
  <c r="K314" i="1"/>
  <c r="I314" i="1"/>
  <c r="G314" i="1"/>
  <c r="R313" i="1"/>
  <c r="Q313" i="1"/>
  <c r="O313" i="1"/>
  <c r="N313" i="1"/>
  <c r="M313" i="1"/>
  <c r="K313" i="1"/>
  <c r="I313" i="1"/>
  <c r="G313" i="1"/>
  <c r="R312" i="1"/>
  <c r="Q312" i="1"/>
  <c r="O312" i="1"/>
  <c r="N312" i="1"/>
  <c r="M312" i="1"/>
  <c r="K312" i="1"/>
  <c r="I312" i="1"/>
  <c r="G312" i="1"/>
  <c r="R311" i="1"/>
  <c r="Q311" i="1"/>
  <c r="O311" i="1"/>
  <c r="N311" i="1"/>
  <c r="M311" i="1"/>
  <c r="K311" i="1"/>
  <c r="I311" i="1"/>
  <c r="G311" i="1"/>
  <c r="R310" i="1"/>
  <c r="Q310" i="1"/>
  <c r="O310" i="1"/>
  <c r="N310" i="1"/>
  <c r="M310" i="1"/>
  <c r="K310" i="1"/>
  <c r="I310" i="1"/>
  <c r="G310" i="1"/>
  <c r="R309" i="1"/>
  <c r="Q309" i="1"/>
  <c r="O309" i="1"/>
  <c r="N309" i="1"/>
  <c r="M309" i="1"/>
  <c r="K309" i="1"/>
  <c r="I309" i="1"/>
  <c r="G309" i="1"/>
  <c r="R308" i="1"/>
  <c r="Q308" i="1"/>
  <c r="O308" i="1"/>
  <c r="N308" i="1"/>
  <c r="M308" i="1"/>
  <c r="K308" i="1"/>
  <c r="I308" i="1"/>
  <c r="G308" i="1"/>
  <c r="R307" i="1"/>
  <c r="Q307" i="1"/>
  <c r="O307" i="1"/>
  <c r="N307" i="1"/>
  <c r="M307" i="1"/>
  <c r="K307" i="1"/>
  <c r="I307" i="1"/>
  <c r="G307" i="1"/>
  <c r="R306" i="1"/>
  <c r="Q306" i="1"/>
  <c r="O306" i="1"/>
  <c r="N306" i="1"/>
  <c r="M306" i="1"/>
  <c r="K306" i="1"/>
  <c r="I306" i="1"/>
  <c r="G306" i="1"/>
  <c r="R305" i="1"/>
  <c r="Q305" i="1"/>
  <c r="O305" i="1"/>
  <c r="N305" i="1"/>
  <c r="M305" i="1"/>
  <c r="K305" i="1"/>
  <c r="I305" i="1"/>
  <c r="G305" i="1"/>
  <c r="R304" i="1"/>
  <c r="Q304" i="1"/>
  <c r="O304" i="1"/>
  <c r="N304" i="1"/>
  <c r="M304" i="1"/>
  <c r="K304" i="1"/>
  <c r="I304" i="1"/>
  <c r="G304" i="1"/>
  <c r="R303" i="1"/>
  <c r="Q303" i="1"/>
  <c r="O303" i="1"/>
  <c r="N303" i="1"/>
  <c r="M303" i="1"/>
  <c r="K303" i="1"/>
  <c r="I303" i="1"/>
  <c r="G303" i="1"/>
  <c r="R302" i="1"/>
  <c r="Q302" i="1"/>
  <c r="O302" i="1"/>
  <c r="N302" i="1"/>
  <c r="M302" i="1"/>
  <c r="K302" i="1"/>
  <c r="I302" i="1"/>
  <c r="G302" i="1"/>
  <c r="R301" i="1"/>
  <c r="Q301" i="1"/>
  <c r="O301" i="1"/>
  <c r="N301" i="1"/>
  <c r="M301" i="1"/>
  <c r="K301" i="1"/>
  <c r="I301" i="1"/>
  <c r="G301" i="1"/>
  <c r="R300" i="1"/>
  <c r="Q300" i="1"/>
  <c r="O300" i="1"/>
  <c r="N300" i="1"/>
  <c r="M300" i="1"/>
  <c r="K300" i="1"/>
  <c r="I300" i="1"/>
  <c r="G300" i="1"/>
  <c r="R299" i="1"/>
  <c r="Q299" i="1"/>
  <c r="O299" i="1"/>
  <c r="N299" i="1"/>
  <c r="M299" i="1"/>
  <c r="K299" i="1"/>
  <c r="I299" i="1"/>
  <c r="G299" i="1"/>
  <c r="R298" i="1"/>
  <c r="Q298" i="1"/>
  <c r="O298" i="1"/>
  <c r="N298" i="1"/>
  <c r="M298" i="1"/>
  <c r="K298" i="1"/>
  <c r="I298" i="1"/>
  <c r="G298" i="1"/>
  <c r="R297" i="1"/>
  <c r="Q297" i="1"/>
  <c r="O297" i="1"/>
  <c r="N297" i="1"/>
  <c r="M297" i="1"/>
  <c r="K297" i="1"/>
  <c r="I297" i="1"/>
  <c r="G297" i="1"/>
  <c r="R296" i="1"/>
  <c r="Q296" i="1"/>
  <c r="O296" i="1"/>
  <c r="N296" i="1"/>
  <c r="M296" i="1"/>
  <c r="K296" i="1"/>
  <c r="I296" i="1"/>
  <c r="G296" i="1"/>
  <c r="R295" i="1"/>
  <c r="Q295" i="1"/>
  <c r="O295" i="1"/>
  <c r="N295" i="1"/>
  <c r="M295" i="1"/>
  <c r="K295" i="1"/>
  <c r="I295" i="1"/>
  <c r="G295" i="1"/>
  <c r="R294" i="1"/>
  <c r="Q294" i="1"/>
  <c r="O294" i="1"/>
  <c r="N294" i="1"/>
  <c r="M294" i="1"/>
  <c r="K294" i="1"/>
  <c r="I294" i="1"/>
  <c r="G294" i="1"/>
  <c r="R293" i="1"/>
  <c r="Q293" i="1"/>
  <c r="O293" i="1"/>
  <c r="N293" i="1"/>
  <c r="M293" i="1"/>
  <c r="K293" i="1"/>
  <c r="I293" i="1"/>
  <c r="G293" i="1"/>
  <c r="R292" i="1"/>
  <c r="Q292" i="1"/>
  <c r="O292" i="1"/>
  <c r="N292" i="1"/>
  <c r="M292" i="1"/>
  <c r="K292" i="1"/>
  <c r="I292" i="1"/>
  <c r="G292" i="1"/>
  <c r="R291" i="1"/>
  <c r="Q291" i="1"/>
  <c r="O291" i="1"/>
  <c r="N291" i="1"/>
  <c r="M291" i="1"/>
  <c r="K291" i="1"/>
  <c r="I291" i="1"/>
  <c r="G291" i="1"/>
  <c r="R290" i="1"/>
  <c r="Q290" i="1"/>
  <c r="O290" i="1"/>
  <c r="N290" i="1"/>
  <c r="M290" i="1"/>
  <c r="K290" i="1"/>
  <c r="I290" i="1"/>
  <c r="G290" i="1"/>
  <c r="R289" i="1"/>
  <c r="Q289" i="1"/>
  <c r="O289" i="1"/>
  <c r="N289" i="1"/>
  <c r="M289" i="1"/>
  <c r="K289" i="1"/>
  <c r="I289" i="1"/>
  <c r="G289" i="1"/>
  <c r="R288" i="1"/>
  <c r="Q288" i="1"/>
  <c r="O288" i="1"/>
  <c r="N288" i="1"/>
  <c r="M288" i="1"/>
  <c r="K288" i="1"/>
  <c r="I288" i="1"/>
  <c r="G288" i="1"/>
  <c r="R287" i="1"/>
  <c r="Q287" i="1"/>
  <c r="O287" i="1"/>
  <c r="N287" i="1"/>
  <c r="M287" i="1"/>
  <c r="K287" i="1"/>
  <c r="I287" i="1"/>
  <c r="G287" i="1"/>
  <c r="R286" i="1"/>
  <c r="Q286" i="1"/>
  <c r="O286" i="1"/>
  <c r="N286" i="1"/>
  <c r="M286" i="1"/>
  <c r="K286" i="1"/>
  <c r="I286" i="1"/>
  <c r="G286" i="1"/>
  <c r="R285" i="1"/>
  <c r="Q285" i="1"/>
  <c r="O285" i="1"/>
  <c r="N285" i="1"/>
  <c r="M285" i="1"/>
  <c r="K285" i="1"/>
  <c r="I285" i="1"/>
  <c r="G285" i="1"/>
  <c r="R284" i="1"/>
  <c r="Q284" i="1"/>
  <c r="O284" i="1"/>
  <c r="N284" i="1"/>
  <c r="M284" i="1"/>
  <c r="K284" i="1"/>
  <c r="I284" i="1"/>
  <c r="G284" i="1"/>
  <c r="R283" i="1"/>
  <c r="Q283" i="1"/>
  <c r="O283" i="1"/>
  <c r="N283" i="1"/>
  <c r="M283" i="1"/>
  <c r="K283" i="1"/>
  <c r="I283" i="1"/>
  <c r="G283" i="1"/>
  <c r="R282" i="1"/>
  <c r="Q282" i="1"/>
  <c r="O282" i="1"/>
  <c r="N282" i="1"/>
  <c r="M282" i="1"/>
  <c r="K282" i="1"/>
  <c r="I282" i="1"/>
  <c r="G282" i="1"/>
  <c r="R281" i="1"/>
  <c r="Q281" i="1"/>
  <c r="O281" i="1"/>
  <c r="N281" i="1"/>
  <c r="M281" i="1"/>
  <c r="K281" i="1"/>
  <c r="I281" i="1"/>
  <c r="G281" i="1"/>
  <c r="R280" i="1"/>
  <c r="Q280" i="1"/>
  <c r="O280" i="1"/>
  <c r="N280" i="1"/>
  <c r="M280" i="1"/>
  <c r="K280" i="1"/>
  <c r="I280" i="1"/>
  <c r="G280" i="1"/>
  <c r="R279" i="1"/>
  <c r="Q279" i="1"/>
  <c r="O279" i="1"/>
  <c r="N279" i="1"/>
  <c r="M279" i="1"/>
  <c r="K279" i="1"/>
  <c r="I279" i="1"/>
  <c r="G279" i="1"/>
  <c r="R278" i="1"/>
  <c r="Q278" i="1"/>
  <c r="O278" i="1"/>
  <c r="N278" i="1"/>
  <c r="M278" i="1"/>
  <c r="K278" i="1"/>
  <c r="I278" i="1"/>
  <c r="G278" i="1"/>
  <c r="R277" i="1"/>
  <c r="Q277" i="1"/>
  <c r="O277" i="1"/>
  <c r="N277" i="1"/>
  <c r="M277" i="1"/>
  <c r="K277" i="1"/>
  <c r="I277" i="1"/>
  <c r="G277" i="1"/>
  <c r="R276" i="1"/>
  <c r="Q276" i="1"/>
  <c r="O276" i="1"/>
  <c r="N276" i="1"/>
  <c r="M276" i="1"/>
  <c r="K276" i="1"/>
  <c r="I276" i="1"/>
  <c r="G276" i="1"/>
  <c r="R275" i="1"/>
  <c r="Q275" i="1"/>
  <c r="O275" i="1"/>
  <c r="N275" i="1"/>
  <c r="M275" i="1"/>
  <c r="K275" i="1"/>
  <c r="I275" i="1"/>
  <c r="G275" i="1"/>
  <c r="R274" i="1"/>
  <c r="Q274" i="1"/>
  <c r="O274" i="1"/>
  <c r="N274" i="1"/>
  <c r="M274" i="1"/>
  <c r="K274" i="1"/>
  <c r="I274" i="1"/>
  <c r="G274" i="1"/>
  <c r="R273" i="1"/>
  <c r="Q273" i="1"/>
  <c r="O273" i="1"/>
  <c r="N273" i="1"/>
  <c r="M273" i="1"/>
  <c r="K273" i="1"/>
  <c r="I273" i="1"/>
  <c r="G273" i="1"/>
  <c r="R272" i="1"/>
  <c r="Q272" i="1"/>
  <c r="O272" i="1"/>
  <c r="N272" i="1"/>
  <c r="M272" i="1"/>
  <c r="K272" i="1"/>
  <c r="I272" i="1"/>
  <c r="G272" i="1"/>
  <c r="U271" i="1"/>
  <c r="T271" i="1"/>
  <c r="S271" i="1"/>
  <c r="Q271" i="1"/>
  <c r="P271" i="1"/>
  <c r="L271" i="1"/>
  <c r="K271" i="1"/>
  <c r="I271" i="1"/>
  <c r="G271" i="1"/>
  <c r="U270" i="1"/>
  <c r="T270" i="1"/>
  <c r="S270" i="1"/>
  <c r="Q270" i="1"/>
  <c r="P270" i="1"/>
  <c r="L270" i="1"/>
  <c r="K270" i="1"/>
  <c r="I270" i="1"/>
  <c r="G270" i="1"/>
  <c r="U269" i="1"/>
  <c r="T269" i="1"/>
  <c r="S269" i="1"/>
  <c r="Q269" i="1"/>
  <c r="P269" i="1"/>
  <c r="L269" i="1"/>
  <c r="K269" i="1"/>
  <c r="I269" i="1"/>
  <c r="G269" i="1"/>
  <c r="U268" i="1"/>
  <c r="T268" i="1"/>
  <c r="S268" i="1"/>
  <c r="Q268" i="1"/>
  <c r="P268" i="1"/>
  <c r="L268" i="1"/>
  <c r="K268" i="1"/>
  <c r="I268" i="1"/>
  <c r="G268" i="1"/>
  <c r="U267" i="1"/>
  <c r="T267" i="1"/>
  <c r="S267" i="1"/>
  <c r="Q267" i="1"/>
  <c r="P267" i="1"/>
  <c r="L267" i="1"/>
  <c r="K267" i="1"/>
  <c r="I267" i="1"/>
  <c r="G267" i="1"/>
  <c r="U266" i="1"/>
  <c r="T266" i="1"/>
  <c r="S266" i="1"/>
  <c r="Q266" i="1"/>
  <c r="P266" i="1"/>
  <c r="L266" i="1"/>
  <c r="K266" i="1"/>
  <c r="I266" i="1"/>
  <c r="G266" i="1"/>
  <c r="U265" i="1"/>
  <c r="T265" i="1"/>
  <c r="S265" i="1"/>
  <c r="Q265" i="1"/>
  <c r="P265" i="1"/>
  <c r="L265" i="1"/>
  <c r="K265" i="1"/>
  <c r="I265" i="1"/>
  <c r="G265" i="1"/>
  <c r="U264" i="1"/>
  <c r="T264" i="1"/>
  <c r="S264" i="1"/>
  <c r="Q264" i="1"/>
  <c r="P264" i="1"/>
  <c r="L264" i="1"/>
  <c r="K264" i="1"/>
  <c r="I264" i="1"/>
  <c r="G264" i="1"/>
  <c r="U263" i="1"/>
  <c r="T263" i="1"/>
  <c r="S263" i="1"/>
  <c r="Q263" i="1"/>
  <c r="P263" i="1"/>
  <c r="L263" i="1"/>
  <c r="K263" i="1"/>
  <c r="I263" i="1"/>
  <c r="G263" i="1"/>
  <c r="U262" i="1"/>
  <c r="T262" i="1"/>
  <c r="S262" i="1"/>
  <c r="Q262" i="1"/>
  <c r="P262" i="1"/>
  <c r="L262" i="1"/>
  <c r="K262" i="1"/>
  <c r="I262" i="1"/>
  <c r="G262" i="1"/>
  <c r="U261" i="1"/>
  <c r="T261" i="1"/>
  <c r="S261" i="1"/>
  <c r="Q261" i="1"/>
  <c r="P261" i="1"/>
  <c r="L261" i="1"/>
  <c r="K261" i="1"/>
  <c r="I261" i="1"/>
  <c r="G261" i="1"/>
  <c r="U260" i="1"/>
  <c r="T260" i="1"/>
  <c r="S260" i="1"/>
  <c r="Q260" i="1"/>
  <c r="P260" i="1"/>
  <c r="L260" i="1"/>
  <c r="K260" i="1"/>
  <c r="I260" i="1"/>
  <c r="G260" i="1"/>
  <c r="U259" i="1"/>
  <c r="T259" i="1"/>
  <c r="S259" i="1"/>
  <c r="Q259" i="1"/>
  <c r="P259" i="1"/>
  <c r="L259" i="1"/>
  <c r="K259" i="1"/>
  <c r="I259" i="1"/>
  <c r="G259" i="1"/>
  <c r="U258" i="1"/>
  <c r="T258" i="1"/>
  <c r="S258" i="1"/>
  <c r="Q258" i="1"/>
  <c r="P258" i="1"/>
  <c r="L258" i="1"/>
  <c r="K258" i="1"/>
  <c r="I258" i="1"/>
  <c r="G258" i="1"/>
  <c r="U257" i="1"/>
  <c r="T257" i="1"/>
  <c r="S257" i="1"/>
  <c r="Q257" i="1"/>
  <c r="P257" i="1"/>
  <c r="L257" i="1"/>
  <c r="K257" i="1"/>
  <c r="I257" i="1"/>
  <c r="G257" i="1"/>
  <c r="U256" i="1"/>
  <c r="T256" i="1"/>
  <c r="S256" i="1"/>
  <c r="Q256" i="1"/>
  <c r="P256" i="1"/>
  <c r="L256" i="1"/>
  <c r="K256" i="1"/>
  <c r="I256" i="1"/>
  <c r="G256" i="1"/>
  <c r="U255" i="1"/>
  <c r="T255" i="1"/>
  <c r="S255" i="1"/>
  <c r="Q255" i="1"/>
  <c r="P255" i="1"/>
  <c r="L255" i="1"/>
  <c r="K255" i="1"/>
  <c r="I255" i="1"/>
  <c r="G255" i="1"/>
  <c r="U254" i="1"/>
  <c r="T254" i="1"/>
  <c r="S254" i="1"/>
  <c r="Q254" i="1"/>
  <c r="P254" i="1"/>
  <c r="L254" i="1"/>
  <c r="K254" i="1"/>
  <c r="I254" i="1"/>
  <c r="G254" i="1"/>
  <c r="U253" i="1"/>
  <c r="T253" i="1"/>
  <c r="S253" i="1"/>
  <c r="Q253" i="1"/>
  <c r="P253" i="1"/>
  <c r="L253" i="1"/>
  <c r="K253" i="1"/>
  <c r="I253" i="1"/>
  <c r="G253" i="1"/>
  <c r="U252" i="1"/>
  <c r="T252" i="1"/>
  <c r="S252" i="1"/>
  <c r="Q252" i="1"/>
  <c r="P252" i="1"/>
  <c r="L252" i="1"/>
  <c r="K252" i="1"/>
  <c r="I252" i="1"/>
  <c r="G252" i="1"/>
  <c r="U251" i="1"/>
  <c r="T251" i="1"/>
  <c r="S251" i="1"/>
  <c r="Q251" i="1"/>
  <c r="P251" i="1"/>
  <c r="L251" i="1"/>
  <c r="K251" i="1"/>
  <c r="I251" i="1"/>
  <c r="G251" i="1"/>
  <c r="U250" i="1"/>
  <c r="T250" i="1"/>
  <c r="S250" i="1"/>
  <c r="Q250" i="1"/>
  <c r="P250" i="1"/>
  <c r="L250" i="1"/>
  <c r="K250" i="1"/>
  <c r="I250" i="1"/>
  <c r="G250" i="1"/>
  <c r="U249" i="1"/>
  <c r="T249" i="1"/>
  <c r="S249" i="1"/>
  <c r="Q249" i="1"/>
  <c r="P249" i="1"/>
  <c r="L249" i="1"/>
  <c r="K249" i="1"/>
  <c r="I249" i="1"/>
  <c r="G249" i="1"/>
  <c r="U248" i="1"/>
  <c r="T248" i="1"/>
  <c r="S248" i="1"/>
  <c r="Q248" i="1"/>
  <c r="P248" i="1"/>
  <c r="L248" i="1"/>
  <c r="K248" i="1"/>
  <c r="I248" i="1"/>
  <c r="G248" i="1"/>
  <c r="U247" i="1"/>
  <c r="T247" i="1"/>
  <c r="S247" i="1"/>
  <c r="Q247" i="1"/>
  <c r="P247" i="1"/>
  <c r="L247" i="1"/>
  <c r="K247" i="1"/>
  <c r="I247" i="1"/>
  <c r="G247" i="1"/>
  <c r="U246" i="1"/>
  <c r="T246" i="1"/>
  <c r="S246" i="1"/>
  <c r="Q246" i="1"/>
  <c r="P246" i="1"/>
  <c r="L246" i="1"/>
  <c r="K246" i="1"/>
  <c r="I246" i="1"/>
  <c r="G246" i="1"/>
  <c r="U245" i="1"/>
  <c r="T245" i="1"/>
  <c r="S245" i="1"/>
  <c r="Q245" i="1"/>
  <c r="P245" i="1"/>
  <c r="L245" i="1"/>
  <c r="K245" i="1"/>
  <c r="I245" i="1"/>
  <c r="G245" i="1"/>
  <c r="U244" i="1"/>
  <c r="T244" i="1"/>
  <c r="S244" i="1"/>
  <c r="Q244" i="1"/>
  <c r="P244" i="1"/>
  <c r="L244" i="1"/>
  <c r="K244" i="1"/>
  <c r="I244" i="1"/>
  <c r="G244" i="1"/>
  <c r="U243" i="1"/>
  <c r="T243" i="1"/>
  <c r="S243" i="1"/>
  <c r="Q243" i="1"/>
  <c r="P243" i="1"/>
  <c r="L243" i="1"/>
  <c r="K243" i="1"/>
  <c r="I243" i="1"/>
  <c r="G243" i="1"/>
  <c r="U242" i="1"/>
  <c r="T242" i="1"/>
  <c r="S242" i="1"/>
  <c r="Q242" i="1"/>
  <c r="P242" i="1"/>
  <c r="L242" i="1"/>
  <c r="K242" i="1"/>
  <c r="I242" i="1"/>
  <c r="G242" i="1"/>
  <c r="U241" i="1"/>
  <c r="T241" i="1"/>
  <c r="S241" i="1"/>
  <c r="Q241" i="1"/>
  <c r="P241" i="1"/>
  <c r="L241" i="1"/>
  <c r="K241" i="1"/>
  <c r="I241" i="1"/>
  <c r="G241" i="1"/>
  <c r="U240" i="1"/>
  <c r="T240" i="1"/>
  <c r="S240" i="1"/>
  <c r="Q240" i="1"/>
  <c r="P240" i="1"/>
  <c r="L240" i="1"/>
  <c r="K240" i="1"/>
  <c r="I240" i="1"/>
  <c r="G240" i="1"/>
  <c r="U239" i="1"/>
  <c r="T239" i="1"/>
  <c r="S239" i="1"/>
  <c r="Q239" i="1"/>
  <c r="P239" i="1"/>
  <c r="L239" i="1"/>
  <c r="K239" i="1"/>
  <c r="I239" i="1"/>
  <c r="G239" i="1"/>
  <c r="U238" i="1"/>
  <c r="T238" i="1"/>
  <c r="S238" i="1"/>
  <c r="Q238" i="1"/>
  <c r="P238" i="1"/>
  <c r="L238" i="1"/>
  <c r="K238" i="1"/>
  <c r="I238" i="1"/>
  <c r="G238" i="1"/>
  <c r="U237" i="1"/>
  <c r="T237" i="1"/>
  <c r="S237" i="1"/>
  <c r="Q237" i="1"/>
  <c r="P237" i="1"/>
  <c r="L237" i="1"/>
  <c r="K237" i="1"/>
  <c r="I237" i="1"/>
  <c r="G237" i="1"/>
  <c r="U236" i="1"/>
  <c r="T236" i="1"/>
  <c r="S236" i="1"/>
  <c r="Q236" i="1"/>
  <c r="P236" i="1"/>
  <c r="L236" i="1"/>
  <c r="K236" i="1"/>
  <c r="I236" i="1"/>
  <c r="G236" i="1"/>
  <c r="U235" i="1"/>
  <c r="T235" i="1"/>
  <c r="S235" i="1"/>
  <c r="Q235" i="1"/>
  <c r="P235" i="1"/>
  <c r="L235" i="1"/>
  <c r="K235" i="1"/>
  <c r="I235" i="1"/>
  <c r="G235" i="1"/>
  <c r="U234" i="1"/>
  <c r="T234" i="1"/>
  <c r="S234" i="1"/>
  <c r="Q234" i="1"/>
  <c r="P234" i="1"/>
  <c r="L234" i="1"/>
  <c r="K234" i="1"/>
  <c r="I234" i="1"/>
  <c r="G234" i="1"/>
  <c r="U233" i="1"/>
  <c r="T233" i="1"/>
  <c r="S233" i="1"/>
  <c r="Q233" i="1"/>
  <c r="P233" i="1"/>
  <c r="L233" i="1"/>
  <c r="K233" i="1"/>
  <c r="I233" i="1"/>
  <c r="G233" i="1"/>
  <c r="U232" i="1"/>
  <c r="T232" i="1"/>
  <c r="S232" i="1"/>
  <c r="Q232" i="1"/>
  <c r="P232" i="1"/>
  <c r="L232" i="1"/>
  <c r="K232" i="1"/>
  <c r="I232" i="1"/>
  <c r="G232" i="1"/>
  <c r="U231" i="1"/>
  <c r="T231" i="1"/>
  <c r="S231" i="1"/>
  <c r="Q231" i="1"/>
  <c r="P231" i="1"/>
  <c r="L231" i="1"/>
  <c r="K231" i="1"/>
  <c r="I231" i="1"/>
  <c r="G231" i="1"/>
  <c r="U230" i="1"/>
  <c r="T230" i="1"/>
  <c r="S230" i="1"/>
  <c r="Q230" i="1"/>
  <c r="P230" i="1"/>
  <c r="L230" i="1"/>
  <c r="K230" i="1"/>
  <c r="I230" i="1"/>
  <c r="G230" i="1"/>
  <c r="U229" i="1"/>
  <c r="T229" i="1"/>
  <c r="S229" i="1"/>
  <c r="Q229" i="1"/>
  <c r="P229" i="1"/>
  <c r="L229" i="1"/>
  <c r="K229" i="1"/>
  <c r="I229" i="1"/>
  <c r="G229" i="1"/>
  <c r="U228" i="1"/>
  <c r="T228" i="1"/>
  <c r="S228" i="1"/>
  <c r="Q228" i="1"/>
  <c r="P228" i="1"/>
  <c r="L228" i="1"/>
  <c r="K228" i="1"/>
  <c r="I228" i="1"/>
  <c r="G228" i="1"/>
  <c r="U227" i="1"/>
  <c r="T227" i="1"/>
  <c r="S227" i="1"/>
  <c r="Q227" i="1"/>
  <c r="P227" i="1"/>
  <c r="L227" i="1"/>
  <c r="K227" i="1"/>
  <c r="I227" i="1"/>
  <c r="G227" i="1"/>
  <c r="U226" i="1"/>
  <c r="T226" i="1"/>
  <c r="S226" i="1"/>
  <c r="Q226" i="1"/>
  <c r="P226" i="1"/>
  <c r="L226" i="1"/>
  <c r="K226" i="1"/>
  <c r="I226" i="1"/>
  <c r="G226" i="1"/>
  <c r="U225" i="1"/>
  <c r="T225" i="1"/>
  <c r="S225" i="1"/>
  <c r="Q225" i="1"/>
  <c r="P225" i="1"/>
  <c r="L225" i="1"/>
  <c r="K225" i="1"/>
  <c r="I225" i="1"/>
  <c r="G225" i="1"/>
  <c r="U224" i="1"/>
  <c r="T224" i="1"/>
  <c r="S224" i="1"/>
  <c r="Q224" i="1"/>
  <c r="P224" i="1"/>
  <c r="L224" i="1"/>
  <c r="K224" i="1"/>
  <c r="I224" i="1"/>
  <c r="G224" i="1"/>
  <c r="U223" i="1"/>
  <c r="T223" i="1"/>
  <c r="S223" i="1"/>
  <c r="Q223" i="1"/>
  <c r="P223" i="1"/>
  <c r="L223" i="1"/>
  <c r="K223" i="1"/>
  <c r="I223" i="1"/>
  <c r="G223" i="1"/>
  <c r="U222" i="1"/>
  <c r="T222" i="1"/>
  <c r="S222" i="1"/>
  <c r="Q222" i="1"/>
  <c r="P222" i="1"/>
  <c r="L222" i="1"/>
  <c r="K222" i="1"/>
  <c r="I222" i="1"/>
  <c r="G222" i="1"/>
  <c r="U221" i="1"/>
  <c r="T221" i="1"/>
  <c r="S221" i="1"/>
  <c r="Q221" i="1"/>
  <c r="P221" i="1"/>
  <c r="L221" i="1"/>
  <c r="K221" i="1"/>
  <c r="I221" i="1"/>
  <c r="G221" i="1"/>
  <c r="U220" i="1"/>
  <c r="T220" i="1"/>
  <c r="S220" i="1"/>
  <c r="Q220" i="1"/>
  <c r="P220" i="1"/>
  <c r="L220" i="1"/>
  <c r="K220" i="1"/>
  <c r="I220" i="1"/>
  <c r="G220" i="1"/>
  <c r="U219" i="1"/>
  <c r="T219" i="1"/>
  <c r="S219" i="1"/>
  <c r="Q219" i="1"/>
  <c r="P219" i="1"/>
  <c r="L219" i="1"/>
  <c r="K219" i="1"/>
  <c r="I219" i="1"/>
  <c r="G219" i="1"/>
  <c r="U218" i="1"/>
  <c r="T218" i="1"/>
  <c r="S218" i="1"/>
  <c r="Q218" i="1"/>
  <c r="P218" i="1"/>
  <c r="L218" i="1"/>
  <c r="K218" i="1"/>
  <c r="I218" i="1"/>
  <c r="G218" i="1"/>
  <c r="U217" i="1"/>
  <c r="T217" i="1"/>
  <c r="S217" i="1"/>
  <c r="Q217" i="1"/>
  <c r="P217" i="1"/>
  <c r="L217" i="1"/>
  <c r="K217" i="1"/>
  <c r="I217" i="1"/>
  <c r="G217" i="1"/>
  <c r="U216" i="1"/>
  <c r="T216" i="1"/>
  <c r="S216" i="1"/>
  <c r="Q216" i="1"/>
  <c r="P216" i="1"/>
  <c r="L216" i="1"/>
  <c r="K216" i="1"/>
  <c r="I216" i="1"/>
  <c r="G216" i="1"/>
  <c r="U215" i="1"/>
  <c r="T215" i="1"/>
  <c r="S215" i="1"/>
  <c r="Q215" i="1"/>
  <c r="P215" i="1"/>
  <c r="L215" i="1"/>
  <c r="K215" i="1"/>
  <c r="I215" i="1"/>
  <c r="G215" i="1"/>
  <c r="U214" i="1"/>
  <c r="T214" i="1"/>
  <c r="S214" i="1"/>
  <c r="Q214" i="1"/>
  <c r="P214" i="1"/>
  <c r="L214" i="1"/>
  <c r="K214" i="1"/>
  <c r="I214" i="1"/>
  <c r="G214" i="1"/>
  <c r="U213" i="1"/>
  <c r="T213" i="1"/>
  <c r="S213" i="1"/>
  <c r="Q213" i="1"/>
  <c r="P213" i="1"/>
  <c r="L213" i="1"/>
  <c r="K213" i="1"/>
  <c r="I213" i="1"/>
  <c r="G213" i="1"/>
  <c r="U212" i="1"/>
  <c r="T212" i="1"/>
  <c r="S212" i="1"/>
  <c r="Q212" i="1"/>
  <c r="P212" i="1"/>
  <c r="L212" i="1"/>
  <c r="K212" i="1"/>
  <c r="I212" i="1"/>
  <c r="G212" i="1"/>
  <c r="U211" i="1"/>
  <c r="T211" i="1"/>
  <c r="S211" i="1"/>
  <c r="Q211" i="1"/>
  <c r="P211" i="1"/>
  <c r="L211" i="1"/>
  <c r="K211" i="1"/>
  <c r="I211" i="1"/>
  <c r="G211" i="1"/>
  <c r="U210" i="1"/>
  <c r="T210" i="1"/>
  <c r="S210" i="1"/>
  <c r="Q210" i="1"/>
  <c r="P210" i="1"/>
  <c r="L210" i="1"/>
  <c r="K210" i="1"/>
  <c r="I210" i="1"/>
  <c r="G210" i="1"/>
  <c r="U209" i="1"/>
  <c r="T209" i="1"/>
  <c r="S209" i="1"/>
  <c r="Q209" i="1"/>
  <c r="P209" i="1"/>
  <c r="L209" i="1"/>
  <c r="K209" i="1"/>
  <c r="I209" i="1"/>
  <c r="G209" i="1"/>
  <c r="U208" i="1"/>
  <c r="T208" i="1"/>
  <c r="S208" i="1"/>
  <c r="Q208" i="1"/>
  <c r="P208" i="1"/>
  <c r="L208" i="1"/>
  <c r="K208" i="1"/>
  <c r="I208" i="1"/>
  <c r="G208" i="1"/>
  <c r="Q207" i="1"/>
  <c r="P207" i="1"/>
  <c r="L207" i="1"/>
  <c r="K207" i="1"/>
  <c r="J207" i="1"/>
  <c r="I207" i="1"/>
  <c r="G207" i="1"/>
  <c r="Q206" i="1"/>
  <c r="P206" i="1"/>
  <c r="L206" i="1"/>
  <c r="K206" i="1"/>
  <c r="J206" i="1"/>
  <c r="I206" i="1"/>
  <c r="G206" i="1"/>
  <c r="Q205" i="1"/>
  <c r="P205" i="1"/>
  <c r="L205" i="1"/>
  <c r="K205" i="1"/>
  <c r="J205" i="1"/>
  <c r="I205" i="1"/>
  <c r="G205" i="1"/>
  <c r="Q204" i="1"/>
  <c r="P204" i="1"/>
  <c r="L204" i="1"/>
  <c r="K204" i="1"/>
  <c r="J204" i="1"/>
  <c r="I204" i="1"/>
  <c r="G204" i="1"/>
  <c r="Q203" i="1"/>
  <c r="P203" i="1"/>
  <c r="L203" i="1"/>
  <c r="K203" i="1"/>
  <c r="J203" i="1"/>
  <c r="I203" i="1"/>
  <c r="G203" i="1"/>
  <c r="Q202" i="1"/>
  <c r="P202" i="1"/>
  <c r="L202" i="1"/>
  <c r="K202" i="1"/>
  <c r="J202" i="1"/>
  <c r="I202" i="1"/>
  <c r="G202" i="1"/>
  <c r="Q201" i="1"/>
  <c r="P201" i="1"/>
  <c r="L201" i="1"/>
  <c r="K201" i="1"/>
  <c r="J201" i="1"/>
  <c r="I201" i="1"/>
  <c r="G201" i="1"/>
  <c r="Q200" i="1"/>
  <c r="P200" i="1"/>
  <c r="L200" i="1"/>
  <c r="K200" i="1"/>
  <c r="J200" i="1"/>
  <c r="I200" i="1"/>
  <c r="G200" i="1"/>
  <c r="Q199" i="1"/>
  <c r="P199" i="1"/>
  <c r="L199" i="1"/>
  <c r="K199" i="1"/>
  <c r="J199" i="1"/>
  <c r="I199" i="1"/>
  <c r="G199" i="1"/>
  <c r="Q198" i="1"/>
  <c r="P198" i="1"/>
  <c r="L198" i="1"/>
  <c r="K198" i="1"/>
  <c r="J198" i="1"/>
  <c r="I198" i="1"/>
  <c r="G198" i="1"/>
  <c r="Q197" i="1"/>
  <c r="P197" i="1"/>
  <c r="L197" i="1"/>
  <c r="K197" i="1"/>
  <c r="J197" i="1"/>
  <c r="I197" i="1"/>
  <c r="G197" i="1"/>
  <c r="Q196" i="1"/>
  <c r="P196" i="1"/>
  <c r="L196" i="1"/>
  <c r="K196" i="1"/>
  <c r="J196" i="1"/>
  <c r="I196" i="1"/>
  <c r="G196" i="1"/>
  <c r="Q195" i="1"/>
  <c r="P195" i="1"/>
  <c r="L195" i="1"/>
  <c r="K195" i="1"/>
  <c r="J195" i="1"/>
  <c r="I195" i="1"/>
  <c r="G195" i="1"/>
  <c r="Q194" i="1"/>
  <c r="P194" i="1"/>
  <c r="L194" i="1"/>
  <c r="K194" i="1"/>
  <c r="J194" i="1"/>
  <c r="I194" i="1"/>
  <c r="G194" i="1"/>
  <c r="Q193" i="1"/>
  <c r="P193" i="1"/>
  <c r="L193" i="1"/>
  <c r="K193" i="1"/>
  <c r="J193" i="1"/>
  <c r="I193" i="1"/>
  <c r="G193" i="1"/>
  <c r="Q192" i="1"/>
  <c r="P192" i="1"/>
  <c r="L192" i="1"/>
  <c r="K192" i="1"/>
  <c r="J192" i="1"/>
  <c r="I192" i="1"/>
  <c r="G192" i="1"/>
  <c r="Q191" i="1"/>
  <c r="P191" i="1"/>
  <c r="L191" i="1"/>
  <c r="K191" i="1"/>
  <c r="J191" i="1"/>
  <c r="I191" i="1"/>
  <c r="G191" i="1"/>
  <c r="Q190" i="1"/>
  <c r="P190" i="1"/>
  <c r="L190" i="1"/>
  <c r="K190" i="1"/>
  <c r="J190" i="1"/>
  <c r="I190" i="1"/>
  <c r="G190" i="1"/>
  <c r="Q189" i="1"/>
  <c r="P189" i="1"/>
  <c r="L189" i="1"/>
  <c r="K189" i="1"/>
  <c r="J189" i="1"/>
  <c r="I189" i="1"/>
  <c r="G189" i="1"/>
  <c r="Q188" i="1"/>
  <c r="P188" i="1"/>
  <c r="L188" i="1"/>
  <c r="K188" i="1"/>
  <c r="J188" i="1"/>
  <c r="I188" i="1"/>
  <c r="G188" i="1"/>
  <c r="Q187" i="1"/>
  <c r="P187" i="1"/>
  <c r="L187" i="1"/>
  <c r="K187" i="1"/>
  <c r="J187" i="1"/>
  <c r="I187" i="1"/>
  <c r="G187" i="1"/>
  <c r="Q186" i="1"/>
  <c r="P186" i="1"/>
  <c r="L186" i="1"/>
  <c r="K186" i="1"/>
  <c r="J186" i="1"/>
  <c r="I186" i="1"/>
  <c r="G186" i="1"/>
  <c r="Q185" i="1"/>
  <c r="P185" i="1"/>
  <c r="L185" i="1"/>
  <c r="K185" i="1"/>
  <c r="J185" i="1"/>
  <c r="I185" i="1"/>
  <c r="G185" i="1"/>
  <c r="Q184" i="1"/>
  <c r="P184" i="1"/>
  <c r="L184" i="1"/>
  <c r="K184" i="1"/>
  <c r="J184" i="1"/>
  <c r="I184" i="1"/>
  <c r="G184" i="1"/>
  <c r="Q183" i="1"/>
  <c r="P183" i="1"/>
  <c r="L183" i="1"/>
  <c r="K183" i="1"/>
  <c r="J183" i="1"/>
  <c r="I183" i="1"/>
  <c r="G183" i="1"/>
  <c r="Q182" i="1"/>
  <c r="P182" i="1"/>
  <c r="L182" i="1"/>
  <c r="K182" i="1"/>
  <c r="J182" i="1"/>
  <c r="I182" i="1"/>
  <c r="G182" i="1"/>
  <c r="Q181" i="1"/>
  <c r="P181" i="1"/>
  <c r="L181" i="1"/>
  <c r="K181" i="1"/>
  <c r="J181" i="1"/>
  <c r="I181" i="1"/>
  <c r="G181" i="1"/>
  <c r="Q180" i="1"/>
  <c r="P180" i="1"/>
  <c r="L180" i="1"/>
  <c r="K180" i="1"/>
  <c r="J180" i="1"/>
  <c r="I180" i="1"/>
  <c r="G180" i="1"/>
  <c r="Q179" i="1"/>
  <c r="P179" i="1"/>
  <c r="L179" i="1"/>
  <c r="K179" i="1"/>
  <c r="J179" i="1"/>
  <c r="I179" i="1"/>
  <c r="G179" i="1"/>
  <c r="Q178" i="1"/>
  <c r="P178" i="1"/>
  <c r="L178" i="1"/>
  <c r="K178" i="1"/>
  <c r="J178" i="1"/>
  <c r="I178" i="1"/>
  <c r="G178" i="1"/>
  <c r="Q177" i="1"/>
  <c r="P177" i="1"/>
  <c r="L177" i="1"/>
  <c r="K177" i="1"/>
  <c r="J177" i="1"/>
  <c r="I177" i="1"/>
  <c r="G177" i="1"/>
  <c r="Q176" i="1"/>
  <c r="P176" i="1"/>
  <c r="L176" i="1"/>
  <c r="K176" i="1"/>
  <c r="J176" i="1"/>
  <c r="I176" i="1"/>
  <c r="G176" i="1"/>
  <c r="Q175" i="1"/>
  <c r="P175" i="1"/>
  <c r="L175" i="1"/>
  <c r="K175" i="1"/>
  <c r="J175" i="1"/>
  <c r="I175" i="1"/>
  <c r="G175" i="1"/>
  <c r="Q174" i="1"/>
  <c r="P174" i="1"/>
  <c r="L174" i="1"/>
  <c r="K174" i="1"/>
  <c r="J174" i="1"/>
  <c r="I174" i="1"/>
  <c r="G174" i="1"/>
  <c r="Q173" i="1"/>
  <c r="P173" i="1"/>
  <c r="L173" i="1"/>
  <c r="K173" i="1"/>
  <c r="J173" i="1"/>
  <c r="I173" i="1"/>
  <c r="G173" i="1"/>
  <c r="Q172" i="1"/>
  <c r="P172" i="1"/>
  <c r="L172" i="1"/>
  <c r="K172" i="1"/>
  <c r="J172" i="1"/>
  <c r="I172" i="1"/>
  <c r="G172" i="1"/>
  <c r="Q171" i="1"/>
  <c r="P171" i="1"/>
  <c r="L171" i="1"/>
  <c r="K171" i="1"/>
  <c r="J171" i="1"/>
  <c r="I171" i="1"/>
  <c r="G171" i="1"/>
  <c r="Q170" i="1"/>
  <c r="P170" i="1"/>
  <c r="L170" i="1"/>
  <c r="K170" i="1"/>
  <c r="J170" i="1"/>
  <c r="I170" i="1"/>
  <c r="G170" i="1"/>
  <c r="Q169" i="1"/>
  <c r="P169" i="1"/>
  <c r="L169" i="1"/>
  <c r="K169" i="1"/>
  <c r="J169" i="1"/>
  <c r="I169" i="1"/>
  <c r="G169" i="1"/>
  <c r="Q168" i="1"/>
  <c r="P168" i="1"/>
  <c r="L168" i="1"/>
  <c r="K168" i="1"/>
  <c r="J168" i="1"/>
  <c r="I168" i="1"/>
  <c r="G168" i="1"/>
  <c r="Q167" i="1"/>
  <c r="P167" i="1"/>
  <c r="L167" i="1"/>
  <c r="K167" i="1"/>
  <c r="J167" i="1"/>
  <c r="I167" i="1"/>
  <c r="G167" i="1"/>
  <c r="Q166" i="1"/>
  <c r="P166" i="1"/>
  <c r="L166" i="1"/>
  <c r="K166" i="1"/>
  <c r="J166" i="1"/>
  <c r="I166" i="1"/>
  <c r="G166" i="1"/>
  <c r="Q165" i="1"/>
  <c r="P165" i="1"/>
  <c r="L165" i="1"/>
  <c r="K165" i="1"/>
  <c r="J165" i="1"/>
  <c r="I165" i="1"/>
  <c r="G165" i="1"/>
  <c r="Q164" i="1"/>
  <c r="P164" i="1"/>
  <c r="L164" i="1"/>
  <c r="K164" i="1"/>
  <c r="J164" i="1"/>
  <c r="I164" i="1"/>
  <c r="G164" i="1"/>
  <c r="Q163" i="1"/>
  <c r="P163" i="1"/>
  <c r="L163" i="1"/>
  <c r="K163" i="1"/>
  <c r="J163" i="1"/>
  <c r="I163" i="1"/>
  <c r="G163" i="1"/>
  <c r="Q162" i="1"/>
  <c r="P162" i="1"/>
  <c r="L162" i="1"/>
  <c r="K162" i="1"/>
  <c r="J162" i="1"/>
  <c r="I162" i="1"/>
  <c r="G162" i="1"/>
  <c r="Q161" i="1"/>
  <c r="P161" i="1"/>
  <c r="L161" i="1"/>
  <c r="K161" i="1"/>
  <c r="J161" i="1"/>
  <c r="I161" i="1"/>
  <c r="G161" i="1"/>
  <c r="Q160" i="1"/>
  <c r="P160" i="1"/>
  <c r="L160" i="1"/>
  <c r="K160" i="1"/>
  <c r="J160" i="1"/>
  <c r="I160" i="1"/>
  <c r="G160" i="1"/>
  <c r="Q159" i="1"/>
  <c r="P159" i="1"/>
  <c r="L159" i="1"/>
  <c r="K159" i="1"/>
  <c r="J159" i="1"/>
  <c r="I159" i="1"/>
  <c r="G159" i="1"/>
  <c r="Q158" i="1"/>
  <c r="P158" i="1"/>
  <c r="L158" i="1"/>
  <c r="K158" i="1"/>
  <c r="J158" i="1"/>
  <c r="I158" i="1"/>
  <c r="G158" i="1"/>
  <c r="R157" i="1"/>
  <c r="Q157" i="1"/>
  <c r="P157" i="1"/>
  <c r="L157" i="1"/>
  <c r="K157" i="1"/>
  <c r="J157" i="1"/>
  <c r="I157" i="1"/>
  <c r="G157" i="1"/>
  <c r="R156" i="1"/>
  <c r="Q156" i="1"/>
  <c r="P156" i="1"/>
  <c r="L156" i="1"/>
  <c r="K156" i="1"/>
  <c r="J156" i="1"/>
  <c r="I156" i="1"/>
  <c r="G156" i="1"/>
  <c r="R155" i="1"/>
  <c r="Q155" i="1"/>
  <c r="P155" i="1"/>
  <c r="L155" i="1"/>
  <c r="K155" i="1"/>
  <c r="J155" i="1"/>
  <c r="I155" i="1"/>
  <c r="G155" i="1"/>
  <c r="R154" i="1"/>
  <c r="Q154" i="1"/>
  <c r="P154" i="1"/>
  <c r="L154" i="1"/>
  <c r="K154" i="1"/>
  <c r="J154" i="1"/>
  <c r="I154" i="1"/>
  <c r="G154" i="1"/>
  <c r="R153" i="1"/>
  <c r="Q153" i="1"/>
  <c r="P153" i="1"/>
  <c r="L153" i="1"/>
  <c r="K153" i="1"/>
  <c r="J153" i="1"/>
  <c r="I153" i="1"/>
  <c r="G153" i="1"/>
  <c r="R152" i="1"/>
  <c r="Q152" i="1"/>
  <c r="P152" i="1"/>
  <c r="L152" i="1"/>
  <c r="K152" i="1"/>
  <c r="J152" i="1"/>
  <c r="I152" i="1"/>
  <c r="G152" i="1"/>
  <c r="R151" i="1"/>
  <c r="Q151" i="1"/>
  <c r="P151" i="1"/>
  <c r="L151" i="1"/>
  <c r="K151" i="1"/>
  <c r="J151" i="1"/>
  <c r="I151" i="1"/>
  <c r="G151" i="1"/>
  <c r="R150" i="1"/>
  <c r="Q150" i="1"/>
  <c r="P150" i="1"/>
  <c r="L150" i="1"/>
  <c r="K150" i="1"/>
  <c r="J150" i="1"/>
  <c r="I150" i="1"/>
  <c r="G150" i="1"/>
  <c r="R149" i="1"/>
  <c r="Q149" i="1"/>
  <c r="P149" i="1"/>
  <c r="L149" i="1"/>
  <c r="K149" i="1"/>
  <c r="J149" i="1"/>
  <c r="I149" i="1"/>
  <c r="G149" i="1"/>
  <c r="R148" i="1"/>
  <c r="Q148" i="1"/>
  <c r="P148" i="1"/>
  <c r="L148" i="1"/>
  <c r="K148" i="1"/>
  <c r="J148" i="1"/>
  <c r="I148" i="1"/>
  <c r="G148" i="1"/>
  <c r="R147" i="1"/>
  <c r="Q147" i="1"/>
  <c r="P147" i="1"/>
  <c r="L147" i="1"/>
  <c r="K147" i="1"/>
  <c r="J147" i="1"/>
  <c r="I147" i="1"/>
  <c r="G147" i="1"/>
  <c r="R146" i="1"/>
  <c r="Q146" i="1"/>
  <c r="P146" i="1"/>
  <c r="L146" i="1"/>
  <c r="K146" i="1"/>
  <c r="J146" i="1"/>
  <c r="I146" i="1"/>
  <c r="G146" i="1"/>
  <c r="R145" i="1"/>
  <c r="Q145" i="1"/>
  <c r="P145" i="1"/>
  <c r="L145" i="1"/>
  <c r="K145" i="1"/>
  <c r="J145" i="1"/>
  <c r="I145" i="1"/>
  <c r="G145" i="1"/>
  <c r="R144" i="1"/>
  <c r="Q144" i="1"/>
  <c r="P144" i="1"/>
  <c r="L144" i="1"/>
  <c r="K144" i="1"/>
  <c r="J144" i="1"/>
  <c r="I144" i="1"/>
  <c r="G144" i="1"/>
  <c r="R143" i="1"/>
  <c r="Q143" i="1"/>
  <c r="P143" i="1"/>
  <c r="L143" i="1"/>
  <c r="K143" i="1"/>
  <c r="J143" i="1"/>
  <c r="I143" i="1"/>
  <c r="G143" i="1"/>
  <c r="R142" i="1"/>
  <c r="Q142" i="1"/>
  <c r="P142" i="1"/>
  <c r="L142" i="1"/>
  <c r="K142" i="1"/>
  <c r="J142" i="1"/>
  <c r="I142" i="1"/>
  <c r="G142" i="1"/>
  <c r="R141" i="1"/>
  <c r="Q141" i="1"/>
  <c r="P141" i="1"/>
  <c r="L141" i="1"/>
  <c r="K141" i="1"/>
  <c r="J141" i="1"/>
  <c r="I141" i="1"/>
  <c r="G141" i="1"/>
  <c r="R140" i="1"/>
  <c r="Q140" i="1"/>
  <c r="P140" i="1"/>
  <c r="L140" i="1"/>
  <c r="K140" i="1"/>
  <c r="J140" i="1"/>
  <c r="I140" i="1"/>
  <c r="G140" i="1"/>
  <c r="R139" i="1"/>
  <c r="Q139" i="1"/>
  <c r="P139" i="1"/>
  <c r="L139" i="1"/>
  <c r="K139" i="1"/>
  <c r="J139" i="1"/>
  <c r="I139" i="1"/>
  <c r="G139" i="1"/>
  <c r="R138" i="1"/>
  <c r="Q138" i="1"/>
  <c r="P138" i="1"/>
  <c r="L138" i="1"/>
  <c r="K138" i="1"/>
  <c r="J138" i="1"/>
  <c r="I138" i="1"/>
  <c r="G138" i="1"/>
  <c r="R137" i="1"/>
  <c r="Q137" i="1"/>
  <c r="P137" i="1"/>
  <c r="L137" i="1"/>
  <c r="K137" i="1"/>
  <c r="J137" i="1"/>
  <c r="I137" i="1"/>
  <c r="G137" i="1"/>
  <c r="R136" i="1"/>
  <c r="Q136" i="1"/>
  <c r="P136" i="1"/>
  <c r="L136" i="1"/>
  <c r="K136" i="1"/>
  <c r="J136" i="1"/>
  <c r="I136" i="1"/>
  <c r="G136" i="1"/>
  <c r="R135" i="1"/>
  <c r="Q135" i="1"/>
  <c r="P135" i="1"/>
  <c r="L135" i="1"/>
  <c r="K135" i="1"/>
  <c r="J135" i="1"/>
  <c r="I135" i="1"/>
  <c r="G135" i="1"/>
  <c r="R134" i="1"/>
  <c r="Q134" i="1"/>
  <c r="P134" i="1"/>
  <c r="L134" i="1"/>
  <c r="K134" i="1"/>
  <c r="J134" i="1"/>
  <c r="I134" i="1"/>
  <c r="G134" i="1"/>
  <c r="R133" i="1"/>
  <c r="Q133" i="1"/>
  <c r="P133" i="1"/>
  <c r="L133" i="1"/>
  <c r="K133" i="1"/>
  <c r="J133" i="1"/>
  <c r="I133" i="1"/>
  <c r="G133" i="1"/>
  <c r="R132" i="1"/>
  <c r="Q132" i="1"/>
  <c r="P132" i="1"/>
  <c r="L132" i="1"/>
  <c r="K132" i="1"/>
  <c r="J132" i="1"/>
  <c r="I132" i="1"/>
  <c r="G132" i="1"/>
  <c r="R131" i="1"/>
  <c r="Q131" i="1"/>
  <c r="P131" i="1"/>
  <c r="L131" i="1"/>
  <c r="K131" i="1"/>
  <c r="J131" i="1"/>
  <c r="I131" i="1"/>
  <c r="G131" i="1"/>
  <c r="R130" i="1"/>
  <c r="Q130" i="1"/>
  <c r="P130" i="1"/>
  <c r="L130" i="1"/>
  <c r="K130" i="1"/>
  <c r="J130" i="1"/>
  <c r="I130" i="1"/>
  <c r="G130" i="1"/>
  <c r="R129" i="1"/>
  <c r="Q129" i="1"/>
  <c r="P129" i="1"/>
  <c r="L129" i="1"/>
  <c r="K129" i="1"/>
  <c r="J129" i="1"/>
  <c r="I129" i="1"/>
  <c r="G129" i="1"/>
  <c r="R128" i="1"/>
  <c r="Q128" i="1"/>
  <c r="P128" i="1"/>
  <c r="L128" i="1"/>
  <c r="K128" i="1"/>
  <c r="J128" i="1"/>
  <c r="I128" i="1"/>
  <c r="G128" i="1"/>
  <c r="R127" i="1"/>
  <c r="Q127" i="1"/>
  <c r="P127" i="1"/>
  <c r="L127" i="1"/>
  <c r="K127" i="1"/>
  <c r="J127" i="1"/>
  <c r="I127" i="1"/>
  <c r="G127" i="1"/>
  <c r="R126" i="1"/>
  <c r="Q126" i="1"/>
  <c r="P126" i="1"/>
  <c r="L126" i="1"/>
  <c r="K126" i="1"/>
  <c r="J126" i="1"/>
  <c r="I126" i="1"/>
  <c r="G126" i="1"/>
  <c r="R125" i="1"/>
  <c r="Q125" i="1"/>
  <c r="P125" i="1"/>
  <c r="L125" i="1"/>
  <c r="K125" i="1"/>
  <c r="J125" i="1"/>
  <c r="I125" i="1"/>
  <c r="G125" i="1"/>
  <c r="R124" i="1"/>
  <c r="Q124" i="1"/>
  <c r="P124" i="1"/>
  <c r="L124" i="1"/>
  <c r="K124" i="1"/>
  <c r="J124" i="1"/>
  <c r="I124" i="1"/>
  <c r="G124" i="1"/>
  <c r="R123" i="1"/>
  <c r="Q123" i="1"/>
  <c r="P123" i="1"/>
  <c r="L123" i="1"/>
  <c r="K123" i="1"/>
  <c r="J123" i="1"/>
  <c r="I123" i="1"/>
  <c r="G123" i="1"/>
  <c r="R122" i="1"/>
  <c r="Q122" i="1"/>
  <c r="P122" i="1"/>
  <c r="L122" i="1"/>
  <c r="K122" i="1"/>
  <c r="J122" i="1"/>
  <c r="I122" i="1"/>
  <c r="G122" i="1"/>
  <c r="R121" i="1"/>
  <c r="Q121" i="1"/>
  <c r="P121" i="1"/>
  <c r="L121" i="1"/>
  <c r="K121" i="1"/>
  <c r="J121" i="1"/>
  <c r="I121" i="1"/>
  <c r="G121" i="1"/>
  <c r="R120" i="1"/>
  <c r="Q120" i="1"/>
  <c r="P120" i="1"/>
  <c r="L120" i="1"/>
  <c r="K120" i="1"/>
  <c r="J120" i="1"/>
  <c r="I120" i="1"/>
  <c r="G120" i="1"/>
  <c r="R119" i="1"/>
  <c r="Q119" i="1"/>
  <c r="P119" i="1"/>
  <c r="L119" i="1"/>
  <c r="K119" i="1"/>
  <c r="J119" i="1"/>
  <c r="I119" i="1"/>
  <c r="G119" i="1"/>
  <c r="R118" i="1"/>
  <c r="Q118" i="1"/>
  <c r="P118" i="1"/>
  <c r="L118" i="1"/>
  <c r="K118" i="1"/>
  <c r="J118" i="1"/>
  <c r="I118" i="1"/>
  <c r="G118" i="1"/>
  <c r="R117" i="1"/>
  <c r="Q117" i="1"/>
  <c r="P117" i="1"/>
  <c r="L117" i="1"/>
  <c r="K117" i="1"/>
  <c r="J117" i="1"/>
  <c r="I117" i="1"/>
  <c r="G117" i="1"/>
  <c r="R116" i="1"/>
  <c r="Q116" i="1"/>
  <c r="P116" i="1"/>
  <c r="L116" i="1"/>
  <c r="K116" i="1"/>
  <c r="J116" i="1"/>
  <c r="I116" i="1"/>
  <c r="G116" i="1"/>
  <c r="R115" i="1"/>
  <c r="Q115" i="1"/>
  <c r="P115" i="1"/>
  <c r="L115" i="1"/>
  <c r="K115" i="1"/>
  <c r="J115" i="1"/>
  <c r="I115" i="1"/>
  <c r="G115" i="1"/>
  <c r="R114" i="1"/>
  <c r="Q114" i="1"/>
  <c r="P114" i="1"/>
  <c r="L114" i="1"/>
  <c r="K114" i="1"/>
  <c r="J114" i="1"/>
  <c r="I114" i="1"/>
  <c r="G114" i="1"/>
  <c r="R113" i="1"/>
  <c r="Q113" i="1"/>
  <c r="P113" i="1"/>
  <c r="L113" i="1"/>
  <c r="K113" i="1"/>
  <c r="J113" i="1"/>
  <c r="I113" i="1"/>
  <c r="G113" i="1"/>
  <c r="R112" i="1"/>
  <c r="Q112" i="1"/>
  <c r="P112" i="1"/>
  <c r="L112" i="1"/>
  <c r="K112" i="1"/>
  <c r="J112" i="1"/>
  <c r="I112" i="1"/>
  <c r="G112" i="1"/>
  <c r="R111" i="1"/>
  <c r="Q111" i="1"/>
  <c r="P111" i="1"/>
  <c r="L111" i="1"/>
  <c r="K111" i="1"/>
  <c r="J111" i="1"/>
  <c r="I111" i="1"/>
  <c r="G111" i="1"/>
  <c r="R110" i="1"/>
  <c r="Q110" i="1"/>
  <c r="P110" i="1"/>
  <c r="L110" i="1"/>
  <c r="K110" i="1"/>
  <c r="J110" i="1"/>
  <c r="I110" i="1"/>
  <c r="G110" i="1"/>
  <c r="R109" i="1"/>
  <c r="Q109" i="1"/>
  <c r="P109" i="1"/>
  <c r="L109" i="1"/>
  <c r="K109" i="1"/>
  <c r="J109" i="1"/>
  <c r="I109" i="1"/>
  <c r="G109" i="1"/>
  <c r="R108" i="1"/>
  <c r="Q108" i="1"/>
  <c r="P108" i="1"/>
  <c r="L108" i="1"/>
  <c r="K108" i="1"/>
  <c r="J108" i="1"/>
  <c r="I108" i="1"/>
  <c r="G108" i="1"/>
  <c r="R107" i="1"/>
  <c r="Q107" i="1"/>
  <c r="P107" i="1"/>
  <c r="L107" i="1"/>
  <c r="K107" i="1"/>
  <c r="J107" i="1"/>
  <c r="I107" i="1"/>
  <c r="G107" i="1"/>
  <c r="R106" i="1"/>
  <c r="Q106" i="1"/>
  <c r="P106" i="1"/>
  <c r="L106" i="1"/>
  <c r="K106" i="1"/>
  <c r="J106" i="1"/>
  <c r="I106" i="1"/>
  <c r="G106" i="1"/>
  <c r="R105" i="1"/>
  <c r="Q105" i="1"/>
  <c r="P105" i="1"/>
  <c r="L105" i="1"/>
  <c r="K105" i="1"/>
  <c r="J105" i="1"/>
  <c r="I105" i="1"/>
  <c r="G105" i="1"/>
  <c r="R104" i="1"/>
  <c r="Q104" i="1"/>
  <c r="P104" i="1"/>
  <c r="L104" i="1"/>
  <c r="K104" i="1"/>
  <c r="J104" i="1"/>
  <c r="I104" i="1"/>
  <c r="G104" i="1"/>
  <c r="R103" i="1"/>
  <c r="Q103" i="1"/>
  <c r="P103" i="1"/>
  <c r="L103" i="1"/>
  <c r="K103" i="1"/>
  <c r="J103" i="1"/>
  <c r="I103" i="1"/>
  <c r="G103" i="1"/>
  <c r="O102" i="1"/>
  <c r="N102" i="1"/>
  <c r="M102" i="1"/>
  <c r="J102" i="1"/>
  <c r="I102" i="1"/>
  <c r="G102" i="1"/>
  <c r="O101" i="1"/>
  <c r="N101" i="1"/>
  <c r="M101" i="1"/>
  <c r="J101" i="1"/>
  <c r="I101" i="1"/>
  <c r="G101" i="1"/>
  <c r="O100" i="1"/>
  <c r="N100" i="1"/>
  <c r="M100" i="1"/>
  <c r="J100" i="1"/>
  <c r="I100" i="1"/>
  <c r="G100" i="1"/>
  <c r="O99" i="1"/>
  <c r="N99" i="1"/>
  <c r="M99" i="1"/>
  <c r="J99" i="1"/>
  <c r="I99" i="1"/>
  <c r="G99" i="1"/>
  <c r="O98" i="1"/>
  <c r="N98" i="1"/>
  <c r="M98" i="1"/>
  <c r="J98" i="1"/>
  <c r="I98" i="1"/>
  <c r="G98" i="1"/>
  <c r="O97" i="1"/>
  <c r="N97" i="1"/>
  <c r="M97" i="1"/>
  <c r="J97" i="1"/>
  <c r="I97" i="1"/>
  <c r="G97" i="1"/>
  <c r="O96" i="1"/>
  <c r="N96" i="1"/>
  <c r="M96" i="1"/>
  <c r="J96" i="1"/>
  <c r="I96" i="1"/>
  <c r="G96" i="1"/>
  <c r="O95" i="1"/>
  <c r="N95" i="1"/>
  <c r="M95" i="1"/>
  <c r="J95" i="1"/>
  <c r="I95" i="1"/>
  <c r="G95" i="1"/>
  <c r="O94" i="1"/>
  <c r="N94" i="1"/>
  <c r="M94" i="1"/>
  <c r="J94" i="1"/>
  <c r="I94" i="1"/>
  <c r="G94" i="1"/>
  <c r="O93" i="1"/>
  <c r="N93" i="1"/>
  <c r="M93" i="1"/>
  <c r="J93" i="1"/>
  <c r="I93" i="1"/>
  <c r="G93" i="1"/>
  <c r="O92" i="1"/>
  <c r="N92" i="1"/>
  <c r="M92" i="1"/>
  <c r="J92" i="1"/>
  <c r="I92" i="1"/>
  <c r="G92" i="1"/>
  <c r="O91" i="1"/>
  <c r="N91" i="1"/>
  <c r="M91" i="1"/>
  <c r="J91" i="1"/>
  <c r="I91" i="1"/>
  <c r="G91" i="1"/>
  <c r="O90" i="1"/>
  <c r="N90" i="1"/>
  <c r="M90" i="1"/>
  <c r="J90" i="1"/>
  <c r="I90" i="1"/>
  <c r="G90" i="1"/>
  <c r="O89" i="1"/>
  <c r="N89" i="1"/>
  <c r="M89" i="1"/>
  <c r="J89" i="1"/>
  <c r="I89" i="1"/>
  <c r="G89" i="1"/>
  <c r="O88" i="1"/>
  <c r="N88" i="1"/>
  <c r="M88" i="1"/>
  <c r="J88" i="1"/>
  <c r="I88" i="1"/>
  <c r="G88" i="1"/>
  <c r="O87" i="1"/>
  <c r="N87" i="1"/>
  <c r="M87" i="1"/>
  <c r="J87" i="1"/>
  <c r="I87" i="1"/>
  <c r="G87" i="1"/>
  <c r="O86" i="1"/>
  <c r="N86" i="1"/>
  <c r="M86" i="1"/>
  <c r="J86" i="1"/>
  <c r="I86" i="1"/>
  <c r="G86" i="1"/>
  <c r="O85" i="1"/>
  <c r="N85" i="1"/>
  <c r="M85" i="1"/>
  <c r="J85" i="1"/>
  <c r="I85" i="1"/>
  <c r="G85" i="1"/>
  <c r="O84" i="1"/>
  <c r="N84" i="1"/>
  <c r="M84" i="1"/>
  <c r="J84" i="1"/>
  <c r="I84" i="1"/>
  <c r="G84" i="1"/>
  <c r="O83" i="1"/>
  <c r="N83" i="1"/>
  <c r="M83" i="1"/>
  <c r="J83" i="1"/>
  <c r="I83" i="1"/>
  <c r="G83" i="1"/>
  <c r="O82" i="1"/>
  <c r="N82" i="1"/>
  <c r="M82" i="1"/>
  <c r="J82" i="1"/>
  <c r="I82" i="1"/>
  <c r="G82" i="1"/>
  <c r="O81" i="1"/>
  <c r="N81" i="1"/>
  <c r="M81" i="1"/>
  <c r="J81" i="1"/>
  <c r="I81" i="1"/>
  <c r="G81" i="1"/>
  <c r="O80" i="1"/>
  <c r="N80" i="1"/>
  <c r="M80" i="1"/>
  <c r="J80" i="1"/>
  <c r="I80" i="1"/>
  <c r="G80" i="1"/>
  <c r="O79" i="1"/>
  <c r="N79" i="1"/>
  <c r="M79" i="1"/>
  <c r="J79" i="1"/>
  <c r="I79" i="1"/>
  <c r="G79" i="1"/>
  <c r="O78" i="1"/>
  <c r="N78" i="1"/>
  <c r="M78" i="1"/>
  <c r="J78" i="1"/>
  <c r="I78" i="1"/>
  <c r="G78" i="1"/>
  <c r="O77" i="1"/>
  <c r="N77" i="1"/>
  <c r="M77" i="1"/>
  <c r="J77" i="1"/>
  <c r="I77" i="1"/>
  <c r="G77" i="1"/>
  <c r="O76" i="1"/>
  <c r="N76" i="1"/>
  <c r="M76" i="1"/>
  <c r="J76" i="1"/>
  <c r="I76" i="1"/>
  <c r="G76" i="1"/>
  <c r="O75" i="1"/>
  <c r="N75" i="1"/>
  <c r="M75" i="1"/>
  <c r="J75" i="1"/>
  <c r="I75" i="1"/>
  <c r="G75" i="1"/>
  <c r="O74" i="1"/>
  <c r="N74" i="1"/>
  <c r="M74" i="1"/>
  <c r="J74" i="1"/>
  <c r="I74" i="1"/>
  <c r="G74" i="1"/>
  <c r="O73" i="1"/>
  <c r="N73" i="1"/>
  <c r="M73" i="1"/>
  <c r="J73" i="1"/>
  <c r="I73" i="1"/>
  <c r="G73" i="1"/>
  <c r="O72" i="1"/>
  <c r="N72" i="1"/>
  <c r="M72" i="1"/>
  <c r="J72" i="1"/>
  <c r="I72" i="1"/>
  <c r="G72" i="1"/>
  <c r="O71" i="1"/>
  <c r="N71" i="1"/>
  <c r="M71" i="1"/>
  <c r="J71" i="1"/>
  <c r="I71" i="1"/>
  <c r="G71" i="1"/>
  <c r="O70" i="1"/>
  <c r="N70" i="1"/>
  <c r="M70" i="1"/>
  <c r="J70" i="1"/>
  <c r="I70" i="1"/>
  <c r="G70" i="1"/>
  <c r="O69" i="1"/>
  <c r="N69" i="1"/>
  <c r="M69" i="1"/>
  <c r="J69" i="1"/>
  <c r="I69" i="1"/>
  <c r="G69" i="1"/>
  <c r="O68" i="1"/>
  <c r="N68" i="1"/>
  <c r="M68" i="1"/>
  <c r="J68" i="1"/>
  <c r="I68" i="1"/>
  <c r="G68" i="1"/>
  <c r="O67" i="1"/>
  <c r="N67" i="1"/>
  <c r="M67" i="1"/>
  <c r="J67" i="1"/>
  <c r="I67" i="1"/>
  <c r="G67" i="1"/>
  <c r="O66" i="1"/>
  <c r="N66" i="1"/>
  <c r="M66" i="1"/>
  <c r="J66" i="1"/>
  <c r="I66" i="1"/>
  <c r="G66" i="1"/>
  <c r="O65" i="1"/>
  <c r="N65" i="1"/>
  <c r="M65" i="1"/>
  <c r="J65" i="1"/>
  <c r="I65" i="1"/>
  <c r="G65" i="1"/>
  <c r="O64" i="1"/>
  <c r="N64" i="1"/>
  <c r="M64" i="1"/>
  <c r="J64" i="1"/>
  <c r="I64" i="1"/>
  <c r="G64" i="1"/>
  <c r="O63" i="1"/>
  <c r="N63" i="1"/>
  <c r="M63" i="1"/>
  <c r="J63" i="1"/>
  <c r="I63" i="1"/>
  <c r="G63" i="1"/>
  <c r="O62" i="1"/>
  <c r="N62" i="1"/>
  <c r="M62" i="1"/>
  <c r="J62" i="1"/>
  <c r="I62" i="1"/>
  <c r="G62" i="1"/>
  <c r="O61" i="1"/>
  <c r="N61" i="1"/>
  <c r="M61" i="1"/>
  <c r="J61" i="1"/>
  <c r="I61" i="1"/>
  <c r="G61" i="1"/>
  <c r="O60" i="1"/>
  <c r="N60" i="1"/>
  <c r="M60" i="1"/>
  <c r="J60" i="1"/>
  <c r="I60" i="1"/>
  <c r="G60" i="1"/>
  <c r="O59" i="1"/>
  <c r="N59" i="1"/>
  <c r="M59" i="1"/>
  <c r="J59" i="1"/>
  <c r="I59" i="1"/>
  <c r="G59" i="1"/>
  <c r="O58" i="1"/>
  <c r="N58" i="1"/>
  <c r="M58" i="1"/>
  <c r="J58" i="1"/>
  <c r="I58" i="1"/>
  <c r="G58" i="1"/>
  <c r="O57" i="1"/>
  <c r="N57" i="1"/>
  <c r="M57" i="1"/>
  <c r="J57" i="1"/>
  <c r="I57" i="1"/>
  <c r="G57" i="1"/>
  <c r="O56" i="1"/>
  <c r="N56" i="1"/>
  <c r="M56" i="1"/>
  <c r="J56" i="1"/>
  <c r="I56" i="1"/>
  <c r="G56" i="1"/>
  <c r="O55" i="1"/>
  <c r="N55" i="1"/>
  <c r="M55" i="1"/>
  <c r="J55" i="1"/>
  <c r="I55" i="1"/>
  <c r="G55" i="1"/>
  <c r="O54" i="1"/>
  <c r="N54" i="1"/>
  <c r="M54" i="1"/>
  <c r="J54" i="1"/>
  <c r="I54" i="1"/>
  <c r="G54" i="1"/>
  <c r="O53" i="1"/>
  <c r="N53" i="1"/>
  <c r="M53" i="1"/>
  <c r="J53" i="1"/>
  <c r="I53" i="1"/>
  <c r="G53" i="1"/>
  <c r="O52" i="1"/>
  <c r="N52" i="1"/>
  <c r="M52" i="1"/>
  <c r="J52" i="1"/>
  <c r="I52" i="1"/>
  <c r="G52" i="1"/>
  <c r="O51" i="1"/>
  <c r="N51" i="1"/>
  <c r="M51" i="1"/>
  <c r="J51" i="1"/>
  <c r="I51" i="1"/>
  <c r="G51" i="1"/>
  <c r="O50" i="1"/>
  <c r="N50" i="1"/>
  <c r="M50" i="1"/>
  <c r="J50" i="1"/>
  <c r="I50" i="1"/>
  <c r="G50" i="1"/>
  <c r="O49" i="1"/>
  <c r="N49" i="1"/>
  <c r="M49" i="1"/>
  <c r="J49" i="1"/>
  <c r="I49" i="1"/>
  <c r="G49" i="1"/>
  <c r="O48" i="1"/>
  <c r="N48" i="1"/>
  <c r="M48" i="1"/>
  <c r="J48" i="1"/>
  <c r="I48" i="1"/>
  <c r="G48" i="1"/>
  <c r="O47" i="1"/>
  <c r="N47" i="1"/>
  <c r="M47" i="1"/>
  <c r="J47" i="1"/>
  <c r="I47" i="1"/>
  <c r="G47" i="1"/>
  <c r="O46" i="1"/>
  <c r="N46" i="1"/>
  <c r="M46" i="1"/>
  <c r="J46" i="1"/>
  <c r="I46" i="1"/>
  <c r="G46" i="1"/>
  <c r="O45" i="1"/>
  <c r="N45" i="1"/>
  <c r="M45" i="1"/>
  <c r="J45" i="1"/>
  <c r="I45" i="1"/>
  <c r="G45" i="1"/>
  <c r="O44" i="1"/>
  <c r="N44" i="1"/>
  <c r="M44" i="1"/>
  <c r="J44" i="1"/>
  <c r="I44" i="1"/>
  <c r="G44" i="1"/>
  <c r="O43" i="1"/>
  <c r="N43" i="1"/>
  <c r="M43" i="1"/>
  <c r="J43" i="1"/>
  <c r="I43" i="1"/>
  <c r="G43" i="1"/>
  <c r="O42" i="1"/>
  <c r="N42" i="1"/>
  <c r="M42" i="1"/>
  <c r="J42" i="1"/>
  <c r="I42" i="1"/>
  <c r="G42" i="1"/>
  <c r="O41" i="1"/>
  <c r="N41" i="1"/>
  <c r="M41" i="1"/>
  <c r="J41" i="1"/>
  <c r="I41" i="1"/>
  <c r="G41" i="1"/>
  <c r="O40" i="1"/>
  <c r="N40" i="1"/>
  <c r="M40" i="1"/>
  <c r="J40" i="1"/>
  <c r="I40" i="1"/>
  <c r="G40" i="1"/>
  <c r="O39" i="1"/>
  <c r="N39" i="1"/>
  <c r="M39" i="1"/>
  <c r="J39" i="1"/>
  <c r="I39" i="1"/>
  <c r="G39" i="1"/>
  <c r="U38" i="1"/>
  <c r="T38" i="1"/>
  <c r="O38" i="1"/>
  <c r="N38" i="1"/>
  <c r="M38" i="1"/>
  <c r="I38" i="1"/>
  <c r="G38" i="1"/>
  <c r="U37" i="1"/>
  <c r="T37" i="1"/>
  <c r="O37" i="1"/>
  <c r="N37" i="1"/>
  <c r="M37" i="1"/>
  <c r="I37" i="1"/>
  <c r="G37" i="1"/>
  <c r="U36" i="1"/>
  <c r="T36" i="1"/>
  <c r="O36" i="1"/>
  <c r="N36" i="1"/>
  <c r="M36" i="1"/>
  <c r="I36" i="1"/>
  <c r="G36" i="1"/>
  <c r="U35" i="1"/>
  <c r="T35" i="1"/>
  <c r="O35" i="1"/>
  <c r="N35" i="1"/>
  <c r="M35" i="1"/>
  <c r="I35" i="1"/>
  <c r="G35" i="1"/>
  <c r="U34" i="1"/>
  <c r="T34" i="1"/>
  <c r="O34" i="1"/>
  <c r="N34" i="1"/>
  <c r="M34" i="1"/>
  <c r="I34" i="1"/>
  <c r="G34" i="1"/>
  <c r="U33" i="1"/>
  <c r="T33" i="1"/>
  <c r="O33" i="1"/>
  <c r="N33" i="1"/>
  <c r="M33" i="1"/>
  <c r="I33" i="1"/>
  <c r="G33" i="1"/>
  <c r="U32" i="1"/>
  <c r="T32" i="1"/>
  <c r="O32" i="1"/>
  <c r="N32" i="1"/>
  <c r="M32" i="1"/>
  <c r="I32" i="1"/>
  <c r="G32" i="1"/>
  <c r="U31" i="1"/>
  <c r="T31" i="1"/>
  <c r="O31" i="1"/>
  <c r="N31" i="1"/>
  <c r="M31" i="1"/>
  <c r="I31" i="1"/>
  <c r="G31" i="1"/>
  <c r="U30" i="1"/>
  <c r="T30" i="1"/>
  <c r="O30" i="1"/>
  <c r="N30" i="1"/>
  <c r="M30" i="1"/>
  <c r="I30" i="1"/>
  <c r="G30" i="1"/>
  <c r="U29" i="1"/>
  <c r="T29" i="1"/>
  <c r="O29" i="1"/>
  <c r="N29" i="1"/>
  <c r="M29" i="1"/>
  <c r="I29" i="1"/>
  <c r="G29" i="1"/>
  <c r="U28" i="1"/>
  <c r="T28" i="1"/>
  <c r="O28" i="1"/>
  <c r="N28" i="1"/>
  <c r="M28" i="1"/>
  <c r="I28" i="1"/>
  <c r="G28" i="1"/>
  <c r="U27" i="1"/>
  <c r="T27" i="1"/>
  <c r="O27" i="1"/>
  <c r="N27" i="1"/>
  <c r="M27" i="1"/>
  <c r="I27" i="1"/>
  <c r="G27" i="1"/>
  <c r="U26" i="1"/>
  <c r="T26" i="1"/>
  <c r="O26" i="1"/>
  <c r="N26" i="1"/>
  <c r="M26" i="1"/>
  <c r="I26" i="1"/>
  <c r="G26" i="1"/>
  <c r="U25" i="1"/>
  <c r="T25" i="1"/>
  <c r="O25" i="1"/>
  <c r="N25" i="1"/>
  <c r="M25" i="1"/>
  <c r="I25" i="1"/>
  <c r="G25" i="1"/>
  <c r="U24" i="1"/>
  <c r="T24" i="1"/>
  <c r="O24" i="1"/>
  <c r="N24" i="1"/>
  <c r="M24" i="1"/>
  <c r="I24" i="1"/>
  <c r="G24" i="1"/>
  <c r="U23" i="1"/>
  <c r="T23" i="1"/>
  <c r="O23" i="1"/>
  <c r="N23" i="1"/>
  <c r="M23" i="1"/>
  <c r="I23" i="1"/>
  <c r="G23" i="1"/>
  <c r="U22" i="1"/>
  <c r="T22" i="1"/>
  <c r="O22" i="1"/>
  <c r="N22" i="1"/>
  <c r="M22" i="1"/>
  <c r="I22" i="1"/>
  <c r="G22" i="1"/>
  <c r="U21" i="1"/>
  <c r="T21" i="1"/>
  <c r="O21" i="1"/>
  <c r="N21" i="1"/>
  <c r="M21" i="1"/>
  <c r="I21" i="1"/>
  <c r="G21" i="1"/>
  <c r="U20" i="1"/>
  <c r="T20" i="1"/>
  <c r="O20" i="1"/>
  <c r="N20" i="1"/>
  <c r="M20" i="1"/>
  <c r="I20" i="1"/>
  <c r="G20" i="1"/>
  <c r="U19" i="1"/>
  <c r="T19" i="1"/>
  <c r="O19" i="1"/>
  <c r="N19" i="1"/>
  <c r="M19" i="1"/>
  <c r="I19" i="1"/>
  <c r="G19" i="1"/>
  <c r="U18" i="1"/>
  <c r="T18" i="1"/>
  <c r="O18" i="1"/>
  <c r="N18" i="1"/>
  <c r="M18" i="1"/>
  <c r="I18" i="1"/>
  <c r="G18" i="1"/>
  <c r="U17" i="1"/>
  <c r="T17" i="1"/>
  <c r="O17" i="1"/>
  <c r="N17" i="1"/>
  <c r="M17" i="1"/>
  <c r="I17" i="1"/>
  <c r="G17" i="1"/>
  <c r="U16" i="1"/>
  <c r="T16" i="1"/>
  <c r="O16" i="1"/>
  <c r="N16" i="1"/>
  <c r="M16" i="1"/>
  <c r="I16" i="1"/>
  <c r="G16" i="1"/>
  <c r="U15" i="1"/>
  <c r="T15" i="1"/>
  <c r="O15" i="1"/>
  <c r="N15" i="1"/>
  <c r="M15" i="1"/>
  <c r="I15" i="1"/>
  <c r="G15" i="1"/>
  <c r="U14" i="1"/>
  <c r="T14" i="1"/>
  <c r="O14" i="1"/>
  <c r="N14" i="1"/>
  <c r="M14" i="1"/>
  <c r="I14" i="1"/>
  <c r="G14" i="1"/>
  <c r="U13" i="1"/>
  <c r="T13" i="1"/>
  <c r="O13" i="1"/>
  <c r="N13" i="1"/>
  <c r="M13" i="1"/>
  <c r="I13" i="1"/>
  <c r="G13" i="1"/>
  <c r="U12" i="1"/>
  <c r="T12" i="1"/>
  <c r="O12" i="1"/>
  <c r="N12" i="1"/>
  <c r="M12" i="1"/>
  <c r="I12" i="1"/>
  <c r="G12" i="1"/>
  <c r="U11" i="1"/>
  <c r="T11" i="1"/>
  <c r="O11" i="1"/>
  <c r="N11" i="1"/>
  <c r="M11" i="1"/>
  <c r="I11" i="1"/>
  <c r="G11" i="1"/>
  <c r="U10" i="1"/>
  <c r="T10" i="1"/>
  <c r="O10" i="1"/>
  <c r="N10" i="1"/>
  <c r="M10" i="1"/>
  <c r="I10" i="1"/>
  <c r="G10" i="1"/>
  <c r="U9" i="1"/>
  <c r="T9" i="1"/>
  <c r="O9" i="1"/>
  <c r="N9" i="1"/>
  <c r="M9" i="1"/>
  <c r="I9" i="1"/>
  <c r="G9" i="1"/>
  <c r="U8" i="1"/>
  <c r="T8" i="1"/>
  <c r="O8" i="1"/>
  <c r="N8" i="1"/>
  <c r="M8" i="1"/>
  <c r="I8" i="1"/>
  <c r="G8" i="1"/>
  <c r="U7" i="1"/>
  <c r="T7" i="1"/>
  <c r="O7" i="1"/>
  <c r="N7" i="1"/>
  <c r="M7" i="1"/>
  <c r="I7" i="1"/>
  <c r="G7" i="1"/>
  <c r="U6" i="1"/>
  <c r="T6" i="1"/>
  <c r="O6" i="1"/>
  <c r="N6" i="1"/>
  <c r="M6" i="1"/>
  <c r="I6" i="1"/>
  <c r="G6" i="1"/>
  <c r="U5" i="1"/>
  <c r="T5" i="1"/>
  <c r="O5" i="1"/>
  <c r="N5" i="1"/>
  <c r="M5" i="1"/>
  <c r="I5" i="1"/>
  <c r="G5" i="1"/>
  <c r="U4" i="1"/>
  <c r="T4" i="1"/>
  <c r="O4" i="1"/>
  <c r="N4" i="1"/>
  <c r="M4" i="1"/>
  <c r="I4" i="1"/>
  <c r="G4" i="1"/>
  <c r="U3" i="1"/>
  <c r="T3" i="1"/>
  <c r="O3" i="1"/>
  <c r="N3" i="1"/>
  <c r="M3" i="1"/>
  <c r="I3" i="1"/>
  <c r="G3" i="1"/>
  <c r="U2" i="1"/>
  <c r="T2" i="1"/>
  <c r="O2" i="1"/>
  <c r="N2" i="1"/>
  <c r="M2" i="1"/>
  <c r="I2" i="1"/>
  <c r="G2" i="1"/>
  <c r="R344" i="1" l="1"/>
  <c r="H344" i="1"/>
  <c r="O344" i="1"/>
</calcChain>
</file>

<file path=xl/sharedStrings.xml><?xml version="1.0" encoding="utf-8"?>
<sst xmlns="http://schemas.openxmlformats.org/spreadsheetml/2006/main" count="2662" uniqueCount="551">
  <si>
    <t>Team</t>
  </si>
  <si>
    <t>Name</t>
  </si>
  <si>
    <t>Skill Points</t>
  </si>
  <si>
    <t>Position</t>
  </si>
  <si>
    <t>Year</t>
  </si>
  <si>
    <t>DevT</t>
  </si>
  <si>
    <t xml:space="preserve">DevT Num </t>
  </si>
  <si>
    <t>Snaps</t>
  </si>
  <si>
    <t>HC_Moti 1</t>
  </si>
  <si>
    <t>HC_Moti 2</t>
  </si>
  <si>
    <t>OC_Moti 1</t>
  </si>
  <si>
    <t>DC_Moti 1</t>
  </si>
  <si>
    <t>HC_TD1</t>
  </si>
  <si>
    <t>HC_TD2</t>
  </si>
  <si>
    <t>HC_TD3</t>
  </si>
  <si>
    <t>OC_TD1</t>
  </si>
  <si>
    <t>OC_TD2</t>
  </si>
  <si>
    <t>OC_TD3</t>
  </si>
  <si>
    <t>DC_TD1</t>
  </si>
  <si>
    <t>DC_TD2</t>
  </si>
  <si>
    <t>DC_TD3</t>
  </si>
  <si>
    <t>XP Penalty</t>
  </si>
  <si>
    <t>Auburn</t>
  </si>
  <si>
    <t>J Stromberg</t>
  </si>
  <si>
    <t>RB</t>
  </si>
  <si>
    <t>JR</t>
  </si>
  <si>
    <t>Elite</t>
  </si>
  <si>
    <t>S Anthrop</t>
  </si>
  <si>
    <t>SO</t>
  </si>
  <si>
    <t>J Tatum</t>
  </si>
  <si>
    <t>CB</t>
  </si>
  <si>
    <t>FR (RS)</t>
  </si>
  <si>
    <t>D Starks</t>
  </si>
  <si>
    <t>M Holliday</t>
  </si>
  <si>
    <t>FR</t>
  </si>
  <si>
    <t>D Snow</t>
  </si>
  <si>
    <t>QB</t>
  </si>
  <si>
    <t>JR (RS)</t>
  </si>
  <si>
    <t>Impact</t>
  </si>
  <si>
    <t xml:space="preserve">L Chisena </t>
  </si>
  <si>
    <t>TE</t>
  </si>
  <si>
    <t>SO (RS)</t>
  </si>
  <si>
    <t>E Laguda</t>
  </si>
  <si>
    <t>WR</t>
  </si>
  <si>
    <t>R Pryor</t>
  </si>
  <si>
    <t>L Caver</t>
  </si>
  <si>
    <t>OL</t>
  </si>
  <si>
    <t>A Lake</t>
  </si>
  <si>
    <t>R Hagans</t>
  </si>
  <si>
    <t>K Rasheed</t>
  </si>
  <si>
    <t>D Ness</t>
  </si>
  <si>
    <t>S Buggs</t>
  </si>
  <si>
    <t xml:space="preserve">R Chambers </t>
  </si>
  <si>
    <t xml:space="preserve">D Mohamed </t>
  </si>
  <si>
    <t>S</t>
  </si>
  <si>
    <t xml:space="preserve">N Hartline </t>
  </si>
  <si>
    <t>DL</t>
  </si>
  <si>
    <t>K Talib</t>
  </si>
  <si>
    <t>J Gaskin</t>
  </si>
  <si>
    <t>A Briscoe</t>
  </si>
  <si>
    <t>Normal</t>
  </si>
  <si>
    <t xml:space="preserve">J Spillman </t>
  </si>
  <si>
    <t>D Mangen</t>
  </si>
  <si>
    <t>T Franks</t>
  </si>
  <si>
    <t>G Merz</t>
  </si>
  <si>
    <t>Star</t>
  </si>
  <si>
    <t>D Stokke</t>
  </si>
  <si>
    <t>C Branson</t>
  </si>
  <si>
    <t>J Silvestro</t>
  </si>
  <si>
    <t>J Madu</t>
  </si>
  <si>
    <t>D Keys</t>
  </si>
  <si>
    <t>T Vela</t>
  </si>
  <si>
    <t>T Hagg</t>
  </si>
  <si>
    <t>LB</t>
  </si>
  <si>
    <t>G Calloway</t>
  </si>
  <si>
    <t>M Okada</t>
  </si>
  <si>
    <t>J Isaacs</t>
  </si>
  <si>
    <t>N Aikman</t>
  </si>
  <si>
    <t>W Dumaine</t>
  </si>
  <si>
    <t xml:space="preserve">Clemson </t>
  </si>
  <si>
    <t>S Brown</t>
  </si>
  <si>
    <t>T Moore</t>
  </si>
  <si>
    <t>C Denson</t>
  </si>
  <si>
    <t>J Haynes</t>
  </si>
  <si>
    <t>L Brooking</t>
  </si>
  <si>
    <t>T Brown</t>
  </si>
  <si>
    <t>O Patt-Henry</t>
  </si>
  <si>
    <t>G Davidson</t>
  </si>
  <si>
    <t>D Eziomume</t>
  </si>
  <si>
    <t>J Green</t>
  </si>
  <si>
    <t>R Hanafin</t>
  </si>
  <si>
    <t>Nick Snell</t>
  </si>
  <si>
    <t>S Elliot</t>
  </si>
  <si>
    <t>M Grimm</t>
  </si>
  <si>
    <t>M Jacobs</t>
  </si>
  <si>
    <t>R O'Connell</t>
  </si>
  <si>
    <t>M O"Neil</t>
  </si>
  <si>
    <t>I Reed</t>
  </si>
  <si>
    <t xml:space="preserve">C Sadler </t>
  </si>
  <si>
    <t>M Wade</t>
  </si>
  <si>
    <t>A Hampton</t>
  </si>
  <si>
    <t>K Barnes</t>
  </si>
  <si>
    <t>K Griffin</t>
  </si>
  <si>
    <t>W Heldt</t>
  </si>
  <si>
    <t>S Lewis</t>
  </si>
  <si>
    <t xml:space="preserve">CB </t>
  </si>
  <si>
    <t>J Alexander</t>
  </si>
  <si>
    <t>T Farmer</t>
  </si>
  <si>
    <t>K Webb</t>
  </si>
  <si>
    <t>R Billings</t>
  </si>
  <si>
    <t xml:space="preserve">S </t>
  </si>
  <si>
    <t>D Crayton</t>
  </si>
  <si>
    <t>D Woodaz</t>
  </si>
  <si>
    <t>J Wilkinson</t>
  </si>
  <si>
    <t>B Strozier</t>
  </si>
  <si>
    <t>M Oliver</t>
  </si>
  <si>
    <t>C Kubah-Taylor</t>
  </si>
  <si>
    <t>J Kenan</t>
  </si>
  <si>
    <t xml:space="preserve">M Kelley </t>
  </si>
  <si>
    <t>M Jackson</t>
  </si>
  <si>
    <t>H Brown-Shuler</t>
  </si>
  <si>
    <t>T Pearman</t>
  </si>
  <si>
    <t>K Adams</t>
  </si>
  <si>
    <t>J Henry</t>
  </si>
  <si>
    <t>J Sapp</t>
  </si>
  <si>
    <t>C Turner</t>
  </si>
  <si>
    <t>C Pendergrass</t>
  </si>
  <si>
    <t>W Young</t>
  </si>
  <si>
    <t>K Mccloud</t>
  </si>
  <si>
    <t>J Lawson</t>
  </si>
  <si>
    <t xml:space="preserve">C Vizzina </t>
  </si>
  <si>
    <t>B Wesco JR</t>
  </si>
  <si>
    <t>C Bentancur</t>
  </si>
  <si>
    <t>B Jacobs</t>
  </si>
  <si>
    <t xml:space="preserve">H Sewell </t>
  </si>
  <si>
    <t>E Thurmon</t>
  </si>
  <si>
    <t>J Anderson</t>
  </si>
  <si>
    <t>A Adams</t>
  </si>
  <si>
    <t xml:space="preserve"> DL</t>
  </si>
  <si>
    <t>R Jones</t>
  </si>
  <si>
    <t>C Denhoff</t>
  </si>
  <si>
    <t>A Watford</t>
  </si>
  <si>
    <t xml:space="preserve">DL </t>
  </si>
  <si>
    <t xml:space="preserve">C Story </t>
  </si>
  <si>
    <t>D Mayo</t>
  </si>
  <si>
    <t>S Greem</t>
  </si>
  <si>
    <t>C Gipson</t>
  </si>
  <si>
    <t>V Burley</t>
  </si>
  <si>
    <t>Michigan</t>
  </si>
  <si>
    <t>M Ka'apana</t>
  </si>
  <si>
    <t>D Sinclair</t>
  </si>
  <si>
    <t>F Moore</t>
  </si>
  <si>
    <t>K Bell</t>
  </si>
  <si>
    <t>H Hansen</t>
  </si>
  <si>
    <t>A Marsh</t>
  </si>
  <si>
    <t xml:space="preserve">WR </t>
  </si>
  <si>
    <t>Z Marshall</t>
  </si>
  <si>
    <t>B Morgan</t>
  </si>
  <si>
    <t>S Morgan</t>
  </si>
  <si>
    <t>I Stewart</t>
  </si>
  <si>
    <t>A Gach</t>
  </si>
  <si>
    <t>J Guarnera</t>
  </si>
  <si>
    <t>L Hamilton</t>
  </si>
  <si>
    <t>K Strayhorn</t>
  </si>
  <si>
    <t>T Tucker</t>
  </si>
  <si>
    <t>N Efobi</t>
  </si>
  <si>
    <t>E Link</t>
  </si>
  <si>
    <t>T Metcalf</t>
  </si>
  <si>
    <t>N Owusu-Boateng</t>
  </si>
  <si>
    <t>T Pierce</t>
  </si>
  <si>
    <t>S Earls</t>
  </si>
  <si>
    <t>Z Grant</t>
  </si>
  <si>
    <t>C Sullivan</t>
  </si>
  <si>
    <t>C Brandt</t>
  </si>
  <si>
    <t>M Curtis</t>
  </si>
  <si>
    <t>T Hammond</t>
  </si>
  <si>
    <t>T Moten</t>
  </si>
  <si>
    <t>D Nichols</t>
  </si>
  <si>
    <t>J Oden</t>
  </si>
  <si>
    <t>J Young</t>
  </si>
  <si>
    <t>C Herbstreit</t>
  </si>
  <si>
    <t>C Hester</t>
  </si>
  <si>
    <t>E Owens</t>
  </si>
  <si>
    <t>J Browder</t>
  </si>
  <si>
    <t>J Hoffman</t>
  </si>
  <si>
    <t>B Kanka</t>
  </si>
  <si>
    <t>Z Ludwig</t>
  </si>
  <si>
    <t>C Taylor</t>
  </si>
  <si>
    <t>B Underwood</t>
  </si>
  <si>
    <t>J Davis</t>
  </si>
  <si>
    <t>J Marshall</t>
  </si>
  <si>
    <t>B Pieskorn</t>
  </si>
  <si>
    <t>A Babalola</t>
  </si>
  <si>
    <t xml:space="preserve">B Frazier </t>
  </si>
  <si>
    <t>T Haywood</t>
  </si>
  <si>
    <t>A Sprague</t>
  </si>
  <si>
    <t>T Bowles</t>
  </si>
  <si>
    <t>B Hillman</t>
  </si>
  <si>
    <t>E Etta</t>
  </si>
  <si>
    <t>D Baxter</t>
  </si>
  <si>
    <t xml:space="preserve">J Edmond </t>
  </si>
  <si>
    <t>L Edokpayi</t>
  </si>
  <si>
    <t>J Sanders</t>
  </si>
  <si>
    <t>Rutgers</t>
  </si>
  <si>
    <t>E Schultz</t>
  </si>
  <si>
    <t>A Surace</t>
  </si>
  <si>
    <t>G Winowich</t>
  </si>
  <si>
    <t>I Strong</t>
  </si>
  <si>
    <t>K Duff</t>
  </si>
  <si>
    <t>B Black</t>
  </si>
  <si>
    <t>D Waithwaite</t>
  </si>
  <si>
    <t>F Toure</t>
  </si>
  <si>
    <t>T Beck</t>
  </si>
  <si>
    <t>C Kadow</t>
  </si>
  <si>
    <t>C Lacy</t>
  </si>
  <si>
    <t xml:space="preserve">J Stone </t>
  </si>
  <si>
    <t>B Mascoe</t>
  </si>
  <si>
    <t>K Sanders</t>
  </si>
  <si>
    <t>A Wright</t>
  </si>
  <si>
    <t>K Avery-Jones</t>
  </si>
  <si>
    <t>S Pilof</t>
  </si>
  <si>
    <t>S Robinson</t>
  </si>
  <si>
    <t>D Fuse</t>
  </si>
  <si>
    <t>D Gilley</t>
  </si>
  <si>
    <t>M Johnson</t>
  </si>
  <si>
    <t>E King</t>
  </si>
  <si>
    <t>K Levy</t>
  </si>
  <si>
    <t>N Shaw</t>
  </si>
  <si>
    <t>J Benjamin</t>
  </si>
  <si>
    <t>A Raymond</t>
  </si>
  <si>
    <t>E Guerrier</t>
  </si>
  <si>
    <t>R Jordan</t>
  </si>
  <si>
    <t>H Paul</t>
  </si>
  <si>
    <t>L Blake</t>
  </si>
  <si>
    <t>C Johnston</t>
  </si>
  <si>
    <t>M Keener</t>
  </si>
  <si>
    <t>D Rivers</t>
  </si>
  <si>
    <t>R Andrews</t>
  </si>
  <si>
    <t>R Giacobbe</t>
  </si>
  <si>
    <t>K Jones</t>
  </si>
  <si>
    <t>P Millard</t>
  </si>
  <si>
    <t xml:space="preserve">N Oliveria </t>
  </si>
  <si>
    <t>H Zilinskas</t>
  </si>
  <si>
    <t>A Calhoun</t>
  </si>
  <si>
    <t>O Billotte</t>
  </si>
  <si>
    <t xml:space="preserve">D Dengohe </t>
  </si>
  <si>
    <t>J Ofurie</t>
  </si>
  <si>
    <t>S Clawges</t>
  </si>
  <si>
    <t xml:space="preserve">T Hitchens </t>
  </si>
  <si>
    <t>D Kramer</t>
  </si>
  <si>
    <t>M Marion</t>
  </si>
  <si>
    <t>Pitt</t>
  </si>
  <si>
    <t>E Holstein</t>
  </si>
  <si>
    <t>M Heintschel</t>
  </si>
  <si>
    <t>K Hilton</t>
  </si>
  <si>
    <t>D Lynch</t>
  </si>
  <si>
    <t>W Springs</t>
  </si>
  <si>
    <t>A Brand</t>
  </si>
  <si>
    <t>N Crawford</t>
  </si>
  <si>
    <t xml:space="preserve">Z Fowler - El </t>
  </si>
  <si>
    <t>J Goff</t>
  </si>
  <si>
    <t>C Hicks</t>
  </si>
  <si>
    <t>J Holmes</t>
  </si>
  <si>
    <t>K Johnson</t>
  </si>
  <si>
    <t>C Miller</t>
  </si>
  <si>
    <t>C Nwabuko</t>
  </si>
  <si>
    <t>T Robinson</t>
  </si>
  <si>
    <t>M Thomas</t>
  </si>
  <si>
    <t>B Wellington</t>
  </si>
  <si>
    <t>G Williams</t>
  </si>
  <si>
    <t>J Brown</t>
  </si>
  <si>
    <t>R Carretta</t>
  </si>
  <si>
    <t>J Cooley</t>
  </si>
  <si>
    <t>F Daley</t>
  </si>
  <si>
    <t>A Elnagmi</t>
  </si>
  <si>
    <t>C Holmes</t>
  </si>
  <si>
    <t>T Kerry</t>
  </si>
  <si>
    <t>T Lathan</t>
  </si>
  <si>
    <t>I Montgomery</t>
  </si>
  <si>
    <t>J Randall</t>
  </si>
  <si>
    <t>T Ray</t>
  </si>
  <si>
    <t>K Stanley</t>
  </si>
  <si>
    <t>B Williams</t>
  </si>
  <si>
    <t>R Baer</t>
  </si>
  <si>
    <t>B Lovelace</t>
  </si>
  <si>
    <t>J Joseph</t>
  </si>
  <si>
    <t>R Biles</t>
  </si>
  <si>
    <t>C Brookins</t>
  </si>
  <si>
    <t>J Bonsu</t>
  </si>
  <si>
    <t>S Fitzsimmons</t>
  </si>
  <si>
    <t>F Brewu</t>
  </si>
  <si>
    <t>J Scott</t>
  </si>
  <si>
    <t>N James</t>
  </si>
  <si>
    <t>R Conner</t>
  </si>
  <si>
    <t>E Childress</t>
  </si>
  <si>
    <t>D Cook</t>
  </si>
  <si>
    <t>I Mims</t>
  </si>
  <si>
    <t>D McMillon</t>
  </si>
  <si>
    <t>J Marcelin</t>
  </si>
  <si>
    <t>T Duhas</t>
  </si>
  <si>
    <t>J Whittington</t>
  </si>
  <si>
    <t>D Pritchard</t>
  </si>
  <si>
    <t>I Neal</t>
  </si>
  <si>
    <t>J Moore</t>
  </si>
  <si>
    <t>N Maynard</t>
  </si>
  <si>
    <t>C Lindsey</t>
  </si>
  <si>
    <t>M Gracio</t>
  </si>
  <si>
    <t>Z Ferguson</t>
  </si>
  <si>
    <t>G Drummond</t>
  </si>
  <si>
    <t>Z Crothers</t>
  </si>
  <si>
    <t>A Bryant</t>
  </si>
  <si>
    <t>D Brewton</t>
  </si>
  <si>
    <t>S Carpenter</t>
  </si>
  <si>
    <t>K</t>
  </si>
  <si>
    <t>P Blankenship</t>
  </si>
  <si>
    <t>C Dowd</t>
  </si>
  <si>
    <t>P</t>
  </si>
  <si>
    <t>Ohio St</t>
  </si>
  <si>
    <t>J Sayin</t>
  </si>
  <si>
    <t>L Kienholz</t>
  </si>
  <si>
    <t>T St. Clair</t>
  </si>
  <si>
    <t>J Ball</t>
  </si>
  <si>
    <t>J Peoples</t>
  </si>
  <si>
    <t>M Graham</t>
  </si>
  <si>
    <t>B Inniss</t>
  </si>
  <si>
    <t>B Jackson</t>
  </si>
  <si>
    <t>D Jones</t>
  </si>
  <si>
    <t>M Klare</t>
  </si>
  <si>
    <t>M Leblanc</t>
  </si>
  <si>
    <t>B Miller</t>
  </si>
  <si>
    <t>Q Porter</t>
  </si>
  <si>
    <t>N Roberts</t>
  </si>
  <si>
    <t>B Rodgers</t>
  </si>
  <si>
    <t>J Smith</t>
  </si>
  <si>
    <t>C Tate</t>
  </si>
  <si>
    <t>J Thurman</t>
  </si>
  <si>
    <t>R Wesley</t>
  </si>
  <si>
    <t>S Williams-Dixon</t>
  </si>
  <si>
    <t>Deo. Armstrong</t>
  </si>
  <si>
    <t>Dev. Armstrong</t>
  </si>
  <si>
    <t>J Cook</t>
  </si>
  <si>
    <t>P Daniels</t>
  </si>
  <si>
    <t>C Lowe</t>
  </si>
  <si>
    <t>C Mclaughlin</t>
  </si>
  <si>
    <t>I Moore</t>
  </si>
  <si>
    <t>E Neaves</t>
  </si>
  <si>
    <t>J Padilla</t>
  </si>
  <si>
    <t>G Vansickle</t>
  </si>
  <si>
    <t>L Montgomery</t>
  </si>
  <si>
    <t>E Onianwa</t>
  </si>
  <si>
    <t>A Siereveld</t>
  </si>
  <si>
    <t>A Reese</t>
  </si>
  <si>
    <t>M Hartford</t>
  </si>
  <si>
    <t>J Mathews JR</t>
  </si>
  <si>
    <t>E Houston</t>
  </si>
  <si>
    <t>B Carney</t>
  </si>
  <si>
    <t>B Atkinson</t>
  </si>
  <si>
    <t>J Mcclain</t>
  </si>
  <si>
    <t>K Gaffney</t>
  </si>
  <si>
    <t>B Wells</t>
  </si>
  <si>
    <t>A Scott Jr</t>
  </si>
  <si>
    <t>R Pettijohn</t>
  </si>
  <si>
    <t>K Mcdonald</t>
  </si>
  <si>
    <t>G Stover</t>
  </si>
  <si>
    <t>B West</t>
  </si>
  <si>
    <t>D Stewart</t>
  </si>
  <si>
    <t xml:space="preserve">L Roker </t>
  </si>
  <si>
    <t>P Pierce</t>
  </si>
  <si>
    <t>T Odom</t>
  </si>
  <si>
    <t xml:space="preserve">FR </t>
  </si>
  <si>
    <t>J Mickens</t>
  </si>
  <si>
    <t>E Mensah</t>
  </si>
  <si>
    <t>M Lockhart</t>
  </si>
  <si>
    <t>D Kirks</t>
  </si>
  <si>
    <t>C haddad</t>
  </si>
  <si>
    <t>J Grimes</t>
  </si>
  <si>
    <t>Z Grady</t>
  </si>
  <si>
    <t>L George</t>
  </si>
  <si>
    <t>T Fuller</t>
  </si>
  <si>
    <t>J Carter</t>
  </si>
  <si>
    <t xml:space="preserve">T Alford </t>
  </si>
  <si>
    <t>J Courville</t>
  </si>
  <si>
    <t xml:space="preserve">J Mcguire </t>
  </si>
  <si>
    <t xml:space="preserve">N Mclarty </t>
  </si>
  <si>
    <t>Minnessota</t>
  </si>
  <si>
    <t>D Lindsey</t>
  </si>
  <si>
    <t>J Batts</t>
  </si>
  <si>
    <t>E Morehead</t>
  </si>
  <si>
    <t>M Shikenjanski</t>
  </si>
  <si>
    <t>D Witke</t>
  </si>
  <si>
    <t>A Turner</t>
  </si>
  <si>
    <t>J Cardenas</t>
  </si>
  <si>
    <t>M Coleman</t>
  </si>
  <si>
    <t>L Glenn</t>
  </si>
  <si>
    <t>D Hayes</t>
  </si>
  <si>
    <t>F Ijeboi</t>
  </si>
  <si>
    <t>J Johnson</t>
  </si>
  <si>
    <t>K Lanier</t>
  </si>
  <si>
    <t>A Soukup</t>
  </si>
  <si>
    <t>J Tracy</t>
  </si>
  <si>
    <t>P Walsh</t>
  </si>
  <si>
    <t>C Whitley</t>
  </si>
  <si>
    <t>S Alvarez</t>
  </si>
  <si>
    <t>G Bates</t>
  </si>
  <si>
    <t>B Carroll</t>
  </si>
  <si>
    <t>M Crowe-Hills</t>
  </si>
  <si>
    <t>K Emerson</t>
  </si>
  <si>
    <t>T Needles</t>
  </si>
  <si>
    <t>T Nelson</t>
  </si>
  <si>
    <t>N Roy</t>
  </si>
  <si>
    <t>K Tafai</t>
  </si>
  <si>
    <t>R Tripp</t>
  </si>
  <si>
    <t>J Williams</t>
  </si>
  <si>
    <t>G Johnson</t>
  </si>
  <si>
    <t>A Beers</t>
  </si>
  <si>
    <t>A Gousby</t>
  </si>
  <si>
    <t>K Perich</t>
  </si>
  <si>
    <t>M Baranowski</t>
  </si>
  <si>
    <t>Z Bryan</t>
  </si>
  <si>
    <t>R Kelly</t>
  </si>
  <si>
    <t>K Brown</t>
  </si>
  <si>
    <t>A Smith</t>
  </si>
  <si>
    <t>J Howard</t>
  </si>
  <si>
    <t>A Upton</t>
  </si>
  <si>
    <t>J Nestor</t>
  </si>
  <si>
    <t>M Carrier</t>
  </si>
  <si>
    <t>D Wilson</t>
  </si>
  <si>
    <t>K Menz</t>
  </si>
  <si>
    <t>J Gerlach</t>
  </si>
  <si>
    <t>R Sunram</t>
  </si>
  <si>
    <t>M Kingsbury</t>
  </si>
  <si>
    <t>J Stuckey</t>
  </si>
  <si>
    <t>J Hopper</t>
  </si>
  <si>
    <t>P Jones</t>
  </si>
  <si>
    <t>A Kissayi</t>
  </si>
  <si>
    <t>G Monroe</t>
  </si>
  <si>
    <t>M Gerald</t>
  </si>
  <si>
    <t>D Gaither</t>
  </si>
  <si>
    <t>Z Rainer</t>
  </si>
  <si>
    <t>E Romano</t>
  </si>
  <si>
    <t>M Saine</t>
  </si>
  <si>
    <t>C Fleming</t>
  </si>
  <si>
    <t>K Clark-Marshall</t>
  </si>
  <si>
    <t>E Atewogbola</t>
  </si>
  <si>
    <t>C McGrath</t>
  </si>
  <si>
    <t>K Mount</t>
  </si>
  <si>
    <t>B Richter</t>
  </si>
  <si>
    <t xml:space="preserve">Georgia </t>
  </si>
  <si>
    <t>G Stockton</t>
  </si>
  <si>
    <t>H Millender</t>
  </si>
  <si>
    <t>R Puglisi</t>
  </si>
  <si>
    <t xml:space="preserve">N Frazier </t>
  </si>
  <si>
    <t>R Robinson</t>
  </si>
  <si>
    <t>E Barbour</t>
  </si>
  <si>
    <t xml:space="preserve">TE </t>
  </si>
  <si>
    <t>C Bowens</t>
  </si>
  <si>
    <t>Z Branch</t>
  </si>
  <si>
    <t>L Humphreys</t>
  </si>
  <si>
    <t>L Luckie</t>
  </si>
  <si>
    <t>L Perry</t>
  </si>
  <si>
    <t>J Reddell</t>
  </si>
  <si>
    <t>L Roldan</t>
  </si>
  <si>
    <t>T Taylor</t>
  </si>
  <si>
    <t>S White</t>
  </si>
  <si>
    <t>C Wiley</t>
  </si>
  <si>
    <t>E Williams</t>
  </si>
  <si>
    <t>N Daniels</t>
  </si>
  <si>
    <t>W Flynn</t>
  </si>
  <si>
    <t>J Gaston</t>
  </si>
  <si>
    <t>M Harrison</t>
  </si>
  <si>
    <t>B Hughley</t>
  </si>
  <si>
    <t>J Meriweather</t>
  </si>
  <si>
    <t>J Norman</t>
  </si>
  <si>
    <t>B Rayford</t>
  </si>
  <si>
    <t>M Short</t>
  </si>
  <si>
    <t>C Smith</t>
  </si>
  <si>
    <t>M Toliver</t>
  </si>
  <si>
    <t>M Uini</t>
  </si>
  <si>
    <t>D Bobo</t>
  </si>
  <si>
    <t>D Calhoun</t>
  </si>
  <si>
    <t>M Freeling</t>
  </si>
  <si>
    <t>E Greene</t>
  </si>
  <si>
    <t>C Allen</t>
  </si>
  <si>
    <t>D Harris</t>
  </si>
  <si>
    <t>K Bolden</t>
  </si>
  <si>
    <t xml:space="preserve">E Robinson </t>
  </si>
  <si>
    <t xml:space="preserve">E Modozie </t>
  </si>
  <si>
    <t>C Cole</t>
  </si>
  <si>
    <t>G Harris Jr</t>
  </si>
  <si>
    <t>E Griffin</t>
  </si>
  <si>
    <t>R Wilson</t>
  </si>
  <si>
    <t>J Aguero</t>
  </si>
  <si>
    <t>J Hall</t>
  </si>
  <si>
    <t>X Mcleod</t>
  </si>
  <si>
    <t>Z Walker</t>
  </si>
  <si>
    <t>D Ikinnagbon</t>
  </si>
  <si>
    <t>J Hanne</t>
  </si>
  <si>
    <t>J Greene</t>
  </si>
  <si>
    <t>I Gibson</t>
  </si>
  <si>
    <t>J Harris</t>
  </si>
  <si>
    <t>T Holton</t>
  </si>
  <si>
    <t>J Horton</t>
  </si>
  <si>
    <t>N Johnson</t>
  </si>
  <si>
    <t>Q Johnson</t>
  </si>
  <si>
    <t>J Jonah-Ajonye</t>
  </si>
  <si>
    <t>T Foster</t>
  </si>
  <si>
    <t>Ky Jones</t>
  </si>
  <si>
    <t>A Kruah</t>
  </si>
  <si>
    <t>O Evans</t>
  </si>
  <si>
    <t>N Ogboko</t>
  </si>
  <si>
    <t>D Dumas</t>
  </si>
  <si>
    <t>J Thomas</t>
  </si>
  <si>
    <t>P Woodring</t>
  </si>
  <si>
    <t>D Miller</t>
  </si>
  <si>
    <t>K Gales</t>
  </si>
  <si>
    <t>T Kashama</t>
  </si>
  <si>
    <t>E Awuzie</t>
  </si>
  <si>
    <t>G Gallette</t>
  </si>
  <si>
    <t>K Carden</t>
  </si>
  <si>
    <t>C Takeoff</t>
  </si>
  <si>
    <t>J Ajala</t>
  </si>
  <si>
    <t>C Bartow</t>
  </si>
  <si>
    <t>M Missouri</t>
  </si>
  <si>
    <t>G Stead</t>
  </si>
  <si>
    <t>A Clemons</t>
  </si>
  <si>
    <t>C Pickett</t>
  </si>
  <si>
    <t>A Tinker</t>
  </si>
  <si>
    <t>R Ofodile</t>
  </si>
  <si>
    <t>B Gustafson</t>
  </si>
  <si>
    <t>M Kelley</t>
  </si>
  <si>
    <t>D Middlebrooks</t>
  </si>
  <si>
    <t>G Ogunbowale</t>
  </si>
  <si>
    <t>M Cregg</t>
  </si>
  <si>
    <t>S Gooch</t>
  </si>
  <si>
    <t>M Hartline</t>
  </si>
  <si>
    <t>J Gay</t>
  </si>
  <si>
    <t>T Penny</t>
  </si>
  <si>
    <t>F Barry</t>
  </si>
  <si>
    <t>C Vigil</t>
  </si>
  <si>
    <t>J Ahmed</t>
  </si>
  <si>
    <t>N Hodgins</t>
  </si>
  <si>
    <t>D Nevis</t>
  </si>
  <si>
    <t>J Rothe</t>
  </si>
  <si>
    <t>J Cribbs</t>
  </si>
  <si>
    <t>L Horner</t>
  </si>
  <si>
    <t>V Power</t>
  </si>
  <si>
    <t>M Penny</t>
  </si>
  <si>
    <t>S Merling</t>
  </si>
  <si>
    <t>L Hines</t>
  </si>
  <si>
    <t>B Stitser</t>
  </si>
  <si>
    <t>K Westbrook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</si>
</sst>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291C8-9D13-47F4-806D-5EF1BE66255C}">
  <dimension ref="A1:V529"/>
  <sheetViews>
    <sheetView tabSelected="1" workbookViewId="0">
      <selection sqref="A1:V529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>
        <v>89</v>
      </c>
      <c r="D2" t="s">
        <v>24</v>
      </c>
      <c r="E2" t="s">
        <v>25</v>
      </c>
      <c r="F2" t="s">
        <v>26</v>
      </c>
      <c r="G2">
        <f t="shared" ref="G2:G65" si="0">IF(F2="Normal",1,IF(F2="Impact",2,IF(F2="Star",3,IF(F2="Elite",4,0))))</f>
        <v>4</v>
      </c>
      <c r="H2">
        <v>457</v>
      </c>
      <c r="I2">
        <f t="shared" ref="I2:I38" si="1">IF(OR(D2="QB",D2="RB",D2="WR",D2="TE",D2="OL"),1,0)</f>
        <v>1</v>
      </c>
      <c r="J2">
        <v>0</v>
      </c>
      <c r="K2">
        <v>0</v>
      </c>
      <c r="L2">
        <v>1</v>
      </c>
      <c r="M2">
        <f t="shared" ref="M2:M38" si="2">IF(OR(D2="QB",D2="RB",D2="WR",D2="OL",D2="DL",D2="TE",D2="CB",D2="S"),1,0)</f>
        <v>1</v>
      </c>
      <c r="N2">
        <f t="shared" ref="N2:N38" si="3">IF(AND(OR(E2="FR",E2="SO",E2="FR (RS)",E2="SO (RS)"),OR(D2="QB",D2="RB",D2="WR",D2="OL",D2="DL",D2="TE",D2="CB",D2="S")),1,0)</f>
        <v>0</v>
      </c>
      <c r="O2">
        <f>IF(AND(H2&gt;=300,OR(D2="QB",D2="OL",D2="DL",D2="CB",D2="S")),1,0)</f>
        <v>0</v>
      </c>
      <c r="P2">
        <v>0</v>
      </c>
      <c r="Q2">
        <v>0</v>
      </c>
      <c r="R2">
        <v>0</v>
      </c>
      <c r="S2">
        <v>1</v>
      </c>
      <c r="T2">
        <f t="shared" ref="T2:T38" si="4">IF(OR(E2="FR",E2="SO",E2="FR (RS)",E2="SO (RS)"),1,0)</f>
        <v>0</v>
      </c>
      <c r="U2">
        <f>IF(H2&gt;=300,1,0)</f>
        <v>1</v>
      </c>
      <c r="V2">
        <v>0</v>
      </c>
    </row>
    <row r="3" spans="1:22" x14ac:dyDescent="0.3">
      <c r="A3" t="s">
        <v>22</v>
      </c>
      <c r="B3" t="s">
        <v>27</v>
      </c>
      <c r="C3">
        <v>89</v>
      </c>
      <c r="D3" t="s">
        <v>24</v>
      </c>
      <c r="E3" t="s">
        <v>28</v>
      </c>
      <c r="F3" t="s">
        <v>26</v>
      </c>
      <c r="G3">
        <f t="shared" si="0"/>
        <v>4</v>
      </c>
      <c r="H3">
        <v>192</v>
      </c>
      <c r="I3">
        <f t="shared" si="1"/>
        <v>1</v>
      </c>
      <c r="J3">
        <v>0</v>
      </c>
      <c r="K3">
        <v>0</v>
      </c>
      <c r="L3">
        <v>1</v>
      </c>
      <c r="M3">
        <f t="shared" si="2"/>
        <v>1</v>
      </c>
      <c r="N3">
        <f t="shared" si="3"/>
        <v>1</v>
      </c>
      <c r="O3">
        <f t="shared" ref="O3:O38" si="5">IF(AND(H3&gt;=300,OR(D3="QB",D3="OL",D3="DL",D3="CB",D3="S")),1,0)</f>
        <v>0</v>
      </c>
      <c r="P3">
        <v>0</v>
      </c>
      <c r="Q3">
        <v>0</v>
      </c>
      <c r="R3">
        <v>0</v>
      </c>
      <c r="S3">
        <v>1</v>
      </c>
      <c r="T3">
        <f t="shared" si="4"/>
        <v>1</v>
      </c>
      <c r="U3">
        <f t="shared" ref="U3:U38" si="6">IF(H3&gt;=300,1,0)</f>
        <v>0</v>
      </c>
      <c r="V3">
        <v>0</v>
      </c>
    </row>
    <row r="4" spans="1:22" x14ac:dyDescent="0.3">
      <c r="A4" t="s">
        <v>22</v>
      </c>
      <c r="B4" t="s">
        <v>29</v>
      </c>
      <c r="C4">
        <v>134</v>
      </c>
      <c r="D4" t="s">
        <v>30</v>
      </c>
      <c r="E4" t="s">
        <v>31</v>
      </c>
      <c r="F4" t="s">
        <v>26</v>
      </c>
      <c r="G4">
        <f t="shared" si="0"/>
        <v>4</v>
      </c>
      <c r="H4">
        <v>1089</v>
      </c>
      <c r="I4">
        <f t="shared" si="1"/>
        <v>0</v>
      </c>
      <c r="J4">
        <v>0</v>
      </c>
      <c r="K4">
        <v>0</v>
      </c>
      <c r="L4">
        <v>1</v>
      </c>
      <c r="M4">
        <f t="shared" si="2"/>
        <v>1</v>
      </c>
      <c r="N4">
        <f t="shared" si="3"/>
        <v>1</v>
      </c>
      <c r="O4">
        <f t="shared" si="5"/>
        <v>1</v>
      </c>
      <c r="P4">
        <v>0</v>
      </c>
      <c r="Q4">
        <v>0</v>
      </c>
      <c r="R4">
        <v>0</v>
      </c>
      <c r="S4">
        <v>1</v>
      </c>
      <c r="T4">
        <f t="shared" si="4"/>
        <v>1</v>
      </c>
      <c r="U4">
        <f t="shared" si="6"/>
        <v>1</v>
      </c>
      <c r="V4">
        <v>0</v>
      </c>
    </row>
    <row r="5" spans="1:22" x14ac:dyDescent="0.3">
      <c r="A5" t="s">
        <v>22</v>
      </c>
      <c r="B5" t="s">
        <v>32</v>
      </c>
      <c r="C5">
        <v>135</v>
      </c>
      <c r="D5" t="s">
        <v>30</v>
      </c>
      <c r="E5" t="s">
        <v>31</v>
      </c>
      <c r="F5" t="s">
        <v>26</v>
      </c>
      <c r="G5">
        <f t="shared" si="0"/>
        <v>4</v>
      </c>
      <c r="H5">
        <v>1083</v>
      </c>
      <c r="I5">
        <f t="shared" si="1"/>
        <v>0</v>
      </c>
      <c r="J5">
        <v>0</v>
      </c>
      <c r="K5">
        <v>0</v>
      </c>
      <c r="L5">
        <v>1</v>
      </c>
      <c r="M5">
        <f t="shared" si="2"/>
        <v>1</v>
      </c>
      <c r="N5">
        <f t="shared" si="3"/>
        <v>1</v>
      </c>
      <c r="O5">
        <f t="shared" si="5"/>
        <v>1</v>
      </c>
      <c r="P5">
        <v>0</v>
      </c>
      <c r="Q5">
        <v>0</v>
      </c>
      <c r="R5">
        <v>0</v>
      </c>
      <c r="S5">
        <v>1</v>
      </c>
      <c r="T5">
        <f t="shared" si="4"/>
        <v>1</v>
      </c>
      <c r="U5">
        <f t="shared" si="6"/>
        <v>1</v>
      </c>
      <c r="V5">
        <v>0</v>
      </c>
    </row>
    <row r="6" spans="1:22" x14ac:dyDescent="0.3">
      <c r="A6" t="s">
        <v>22</v>
      </c>
      <c r="B6" t="s">
        <v>33</v>
      </c>
      <c r="C6">
        <v>167</v>
      </c>
      <c r="D6" t="s">
        <v>30</v>
      </c>
      <c r="E6" t="s">
        <v>34</v>
      </c>
      <c r="F6" t="s">
        <v>26</v>
      </c>
      <c r="G6">
        <f t="shared" si="0"/>
        <v>4</v>
      </c>
      <c r="H6">
        <v>314</v>
      </c>
      <c r="I6">
        <f t="shared" si="1"/>
        <v>0</v>
      </c>
      <c r="J6">
        <v>0</v>
      </c>
      <c r="K6">
        <v>0</v>
      </c>
      <c r="L6">
        <v>1</v>
      </c>
      <c r="M6">
        <f t="shared" si="2"/>
        <v>1</v>
      </c>
      <c r="N6">
        <f t="shared" si="3"/>
        <v>1</v>
      </c>
      <c r="O6">
        <f t="shared" si="5"/>
        <v>1</v>
      </c>
      <c r="P6">
        <v>0</v>
      </c>
      <c r="Q6">
        <v>0</v>
      </c>
      <c r="R6">
        <v>0</v>
      </c>
      <c r="S6">
        <v>1</v>
      </c>
      <c r="T6">
        <f t="shared" si="4"/>
        <v>1</v>
      </c>
      <c r="U6">
        <f t="shared" si="6"/>
        <v>1</v>
      </c>
      <c r="V6">
        <v>0</v>
      </c>
    </row>
    <row r="7" spans="1:22" x14ac:dyDescent="0.3">
      <c r="A7" t="s">
        <v>22</v>
      </c>
      <c r="B7" t="s">
        <v>35</v>
      </c>
      <c r="C7">
        <v>45</v>
      </c>
      <c r="D7" t="s">
        <v>36</v>
      </c>
      <c r="E7" t="s">
        <v>37</v>
      </c>
      <c r="F7" t="s">
        <v>38</v>
      </c>
      <c r="G7">
        <f t="shared" si="0"/>
        <v>2</v>
      </c>
      <c r="H7">
        <v>1</v>
      </c>
      <c r="I7">
        <f t="shared" si="1"/>
        <v>1</v>
      </c>
      <c r="J7">
        <v>0</v>
      </c>
      <c r="K7">
        <v>0</v>
      </c>
      <c r="L7">
        <v>1</v>
      </c>
      <c r="M7">
        <f t="shared" si="2"/>
        <v>1</v>
      </c>
      <c r="N7">
        <f t="shared" si="3"/>
        <v>0</v>
      </c>
      <c r="O7">
        <f t="shared" si="5"/>
        <v>0</v>
      </c>
      <c r="P7">
        <v>0</v>
      </c>
      <c r="Q7">
        <v>0</v>
      </c>
      <c r="R7">
        <v>0</v>
      </c>
      <c r="S7">
        <v>1</v>
      </c>
      <c r="T7">
        <f t="shared" si="4"/>
        <v>0</v>
      </c>
      <c r="U7">
        <f t="shared" si="6"/>
        <v>0</v>
      </c>
      <c r="V7">
        <v>0</v>
      </c>
    </row>
    <row r="8" spans="1:22" x14ac:dyDescent="0.3">
      <c r="A8" t="s">
        <v>22</v>
      </c>
      <c r="B8" t="s">
        <v>39</v>
      </c>
      <c r="C8">
        <v>64</v>
      </c>
      <c r="D8" t="s">
        <v>40</v>
      </c>
      <c r="E8" t="s">
        <v>41</v>
      </c>
      <c r="F8" t="s">
        <v>38</v>
      </c>
      <c r="G8">
        <f t="shared" si="0"/>
        <v>2</v>
      </c>
      <c r="H8">
        <v>1131</v>
      </c>
      <c r="I8">
        <f t="shared" si="1"/>
        <v>1</v>
      </c>
      <c r="J8">
        <v>0</v>
      </c>
      <c r="K8">
        <v>0</v>
      </c>
      <c r="L8">
        <v>1</v>
      </c>
      <c r="M8">
        <f t="shared" si="2"/>
        <v>1</v>
      </c>
      <c r="N8">
        <f t="shared" si="3"/>
        <v>1</v>
      </c>
      <c r="O8">
        <f t="shared" si="5"/>
        <v>0</v>
      </c>
      <c r="P8">
        <v>0</v>
      </c>
      <c r="Q8">
        <v>0</v>
      </c>
      <c r="R8">
        <v>0</v>
      </c>
      <c r="S8">
        <v>1</v>
      </c>
      <c r="T8">
        <f t="shared" si="4"/>
        <v>1</v>
      </c>
      <c r="U8">
        <f t="shared" si="6"/>
        <v>1</v>
      </c>
      <c r="V8">
        <v>0</v>
      </c>
    </row>
    <row r="9" spans="1:22" x14ac:dyDescent="0.3">
      <c r="A9" t="s">
        <v>22</v>
      </c>
      <c r="B9" t="s">
        <v>42</v>
      </c>
      <c r="C9">
        <v>74</v>
      </c>
      <c r="D9" t="s">
        <v>43</v>
      </c>
      <c r="E9" t="s">
        <v>31</v>
      </c>
      <c r="F9" t="s">
        <v>38</v>
      </c>
      <c r="G9">
        <f t="shared" si="0"/>
        <v>2</v>
      </c>
      <c r="H9">
        <v>1</v>
      </c>
      <c r="I9">
        <f t="shared" si="1"/>
        <v>1</v>
      </c>
      <c r="J9">
        <v>0</v>
      </c>
      <c r="K9">
        <v>0</v>
      </c>
      <c r="L9">
        <v>1</v>
      </c>
      <c r="M9">
        <f t="shared" si="2"/>
        <v>1</v>
      </c>
      <c r="N9">
        <f t="shared" si="3"/>
        <v>1</v>
      </c>
      <c r="O9">
        <f t="shared" si="5"/>
        <v>0</v>
      </c>
      <c r="P9">
        <v>0</v>
      </c>
      <c r="Q9">
        <v>0</v>
      </c>
      <c r="R9">
        <v>0</v>
      </c>
      <c r="S9">
        <v>1</v>
      </c>
      <c r="T9">
        <f t="shared" si="4"/>
        <v>1</v>
      </c>
      <c r="U9">
        <f t="shared" si="6"/>
        <v>0</v>
      </c>
      <c r="V9">
        <v>0</v>
      </c>
    </row>
    <row r="10" spans="1:22" x14ac:dyDescent="0.3">
      <c r="A10" t="s">
        <v>22</v>
      </c>
      <c r="B10" t="s">
        <v>44</v>
      </c>
      <c r="C10">
        <v>88</v>
      </c>
      <c r="D10" t="s">
        <v>43</v>
      </c>
      <c r="E10" t="s">
        <v>34</v>
      </c>
      <c r="F10" t="s">
        <v>38</v>
      </c>
      <c r="G10">
        <f t="shared" si="0"/>
        <v>2</v>
      </c>
      <c r="H10">
        <v>1</v>
      </c>
      <c r="I10">
        <f t="shared" si="1"/>
        <v>1</v>
      </c>
      <c r="J10">
        <v>0</v>
      </c>
      <c r="K10">
        <v>0</v>
      </c>
      <c r="L10">
        <v>1</v>
      </c>
      <c r="M10">
        <f t="shared" si="2"/>
        <v>1</v>
      </c>
      <c r="N10">
        <f t="shared" si="3"/>
        <v>1</v>
      </c>
      <c r="O10">
        <f t="shared" si="5"/>
        <v>0</v>
      </c>
      <c r="P10">
        <v>0</v>
      </c>
      <c r="Q10">
        <v>0</v>
      </c>
      <c r="R10">
        <v>0</v>
      </c>
      <c r="S10">
        <v>1</v>
      </c>
      <c r="T10">
        <f t="shared" si="4"/>
        <v>1</v>
      </c>
      <c r="U10">
        <f t="shared" si="6"/>
        <v>0</v>
      </c>
      <c r="V10">
        <v>0</v>
      </c>
    </row>
    <row r="11" spans="1:22" x14ac:dyDescent="0.3">
      <c r="A11" t="s">
        <v>22</v>
      </c>
      <c r="B11" t="s">
        <v>45</v>
      </c>
      <c r="C11">
        <v>84</v>
      </c>
      <c r="D11" t="s">
        <v>46</v>
      </c>
      <c r="E11" t="s">
        <v>37</v>
      </c>
      <c r="F11" t="s">
        <v>38</v>
      </c>
      <c r="G11">
        <f t="shared" si="0"/>
        <v>2</v>
      </c>
      <c r="H11">
        <v>1</v>
      </c>
      <c r="I11">
        <f t="shared" si="1"/>
        <v>1</v>
      </c>
      <c r="J11">
        <v>0</v>
      </c>
      <c r="K11">
        <v>0</v>
      </c>
      <c r="L11">
        <v>1</v>
      </c>
      <c r="M11">
        <f t="shared" si="2"/>
        <v>1</v>
      </c>
      <c r="N11">
        <f t="shared" si="3"/>
        <v>0</v>
      </c>
      <c r="O11">
        <f t="shared" si="5"/>
        <v>0</v>
      </c>
      <c r="P11">
        <v>0</v>
      </c>
      <c r="Q11">
        <v>0</v>
      </c>
      <c r="R11">
        <v>0</v>
      </c>
      <c r="S11">
        <v>1</v>
      </c>
      <c r="T11">
        <f t="shared" si="4"/>
        <v>0</v>
      </c>
      <c r="U11">
        <f t="shared" si="6"/>
        <v>0</v>
      </c>
      <c r="V11">
        <v>0</v>
      </c>
    </row>
    <row r="12" spans="1:22" x14ac:dyDescent="0.3">
      <c r="A12" t="s">
        <v>22</v>
      </c>
      <c r="B12" t="s">
        <v>47</v>
      </c>
      <c r="C12">
        <v>89</v>
      </c>
      <c r="D12" t="s">
        <v>46</v>
      </c>
      <c r="E12" t="s">
        <v>41</v>
      </c>
      <c r="F12" t="s">
        <v>38</v>
      </c>
      <c r="G12">
        <f t="shared" si="0"/>
        <v>2</v>
      </c>
      <c r="H12">
        <v>1</v>
      </c>
      <c r="I12">
        <f t="shared" si="1"/>
        <v>1</v>
      </c>
      <c r="J12">
        <v>0</v>
      </c>
      <c r="K12">
        <v>0</v>
      </c>
      <c r="L12">
        <v>1</v>
      </c>
      <c r="M12">
        <f t="shared" si="2"/>
        <v>1</v>
      </c>
      <c r="N12">
        <f t="shared" si="3"/>
        <v>1</v>
      </c>
      <c r="O12">
        <f t="shared" si="5"/>
        <v>0</v>
      </c>
      <c r="P12">
        <v>0</v>
      </c>
      <c r="Q12">
        <v>0</v>
      </c>
      <c r="R12">
        <v>0</v>
      </c>
      <c r="S12">
        <v>1</v>
      </c>
      <c r="T12">
        <f t="shared" si="4"/>
        <v>1</v>
      </c>
      <c r="U12">
        <f t="shared" si="6"/>
        <v>0</v>
      </c>
      <c r="V12">
        <v>0</v>
      </c>
    </row>
    <row r="13" spans="1:22" x14ac:dyDescent="0.3">
      <c r="A13" t="s">
        <v>22</v>
      </c>
      <c r="B13" t="s">
        <v>48</v>
      </c>
      <c r="C13">
        <v>105</v>
      </c>
      <c r="D13" t="s">
        <v>46</v>
      </c>
      <c r="E13" t="s">
        <v>34</v>
      </c>
      <c r="F13" t="s">
        <v>38</v>
      </c>
      <c r="G13">
        <f t="shared" si="0"/>
        <v>2</v>
      </c>
      <c r="H13">
        <v>1</v>
      </c>
      <c r="I13">
        <f t="shared" si="1"/>
        <v>1</v>
      </c>
      <c r="J13">
        <v>0</v>
      </c>
      <c r="K13">
        <v>0</v>
      </c>
      <c r="L13">
        <v>1</v>
      </c>
      <c r="M13">
        <f t="shared" si="2"/>
        <v>1</v>
      </c>
      <c r="N13">
        <f t="shared" si="3"/>
        <v>1</v>
      </c>
      <c r="O13">
        <f t="shared" si="5"/>
        <v>0</v>
      </c>
      <c r="P13">
        <v>0</v>
      </c>
      <c r="Q13">
        <v>0</v>
      </c>
      <c r="R13">
        <v>0</v>
      </c>
      <c r="S13">
        <v>1</v>
      </c>
      <c r="T13">
        <f t="shared" si="4"/>
        <v>1</v>
      </c>
      <c r="U13">
        <f t="shared" si="6"/>
        <v>0</v>
      </c>
      <c r="V13">
        <v>0</v>
      </c>
    </row>
    <row r="14" spans="1:22" x14ac:dyDescent="0.3">
      <c r="A14" t="s">
        <v>22</v>
      </c>
      <c r="B14" t="s">
        <v>49</v>
      </c>
      <c r="C14">
        <v>111</v>
      </c>
      <c r="D14" t="s">
        <v>46</v>
      </c>
      <c r="E14" t="s">
        <v>34</v>
      </c>
      <c r="F14" t="s">
        <v>38</v>
      </c>
      <c r="G14">
        <f t="shared" si="0"/>
        <v>2</v>
      </c>
      <c r="H14">
        <v>1</v>
      </c>
      <c r="I14">
        <f t="shared" si="1"/>
        <v>1</v>
      </c>
      <c r="J14">
        <v>0</v>
      </c>
      <c r="K14">
        <v>0</v>
      </c>
      <c r="L14">
        <v>1</v>
      </c>
      <c r="M14">
        <f t="shared" si="2"/>
        <v>1</v>
      </c>
      <c r="N14">
        <f t="shared" si="3"/>
        <v>1</v>
      </c>
      <c r="O14">
        <f t="shared" si="5"/>
        <v>0</v>
      </c>
      <c r="P14">
        <v>0</v>
      </c>
      <c r="Q14">
        <v>0</v>
      </c>
      <c r="R14">
        <v>0</v>
      </c>
      <c r="S14">
        <v>1</v>
      </c>
      <c r="T14">
        <f t="shared" si="4"/>
        <v>1</v>
      </c>
      <c r="U14">
        <f t="shared" si="6"/>
        <v>0</v>
      </c>
      <c r="V14">
        <v>0</v>
      </c>
    </row>
    <row r="15" spans="1:22" x14ac:dyDescent="0.3">
      <c r="A15" t="s">
        <v>22</v>
      </c>
      <c r="B15" t="s">
        <v>50</v>
      </c>
      <c r="C15">
        <v>123</v>
      </c>
      <c r="D15" t="s">
        <v>46</v>
      </c>
      <c r="E15" t="s">
        <v>34</v>
      </c>
      <c r="F15" t="s">
        <v>38</v>
      </c>
      <c r="G15">
        <f t="shared" si="0"/>
        <v>2</v>
      </c>
      <c r="H15">
        <v>1</v>
      </c>
      <c r="I15">
        <f t="shared" si="1"/>
        <v>1</v>
      </c>
      <c r="J15">
        <v>0</v>
      </c>
      <c r="K15">
        <v>0</v>
      </c>
      <c r="L15">
        <v>1</v>
      </c>
      <c r="M15">
        <f t="shared" si="2"/>
        <v>1</v>
      </c>
      <c r="N15">
        <f t="shared" si="3"/>
        <v>1</v>
      </c>
      <c r="O15">
        <f t="shared" si="5"/>
        <v>0</v>
      </c>
      <c r="P15">
        <v>0</v>
      </c>
      <c r="Q15">
        <v>0</v>
      </c>
      <c r="R15">
        <v>0</v>
      </c>
      <c r="S15">
        <v>1</v>
      </c>
      <c r="T15">
        <f t="shared" si="4"/>
        <v>1</v>
      </c>
      <c r="U15">
        <f t="shared" si="6"/>
        <v>0</v>
      </c>
      <c r="V15">
        <v>0</v>
      </c>
    </row>
    <row r="16" spans="1:22" x14ac:dyDescent="0.3">
      <c r="A16" t="s">
        <v>22</v>
      </c>
      <c r="B16" t="s">
        <v>51</v>
      </c>
      <c r="C16">
        <v>110</v>
      </c>
      <c r="D16" t="s">
        <v>46</v>
      </c>
      <c r="E16" t="s">
        <v>34</v>
      </c>
      <c r="F16" t="s">
        <v>38</v>
      </c>
      <c r="G16">
        <f t="shared" si="0"/>
        <v>2</v>
      </c>
      <c r="H16">
        <v>1</v>
      </c>
      <c r="I16">
        <f t="shared" si="1"/>
        <v>1</v>
      </c>
      <c r="J16">
        <v>0</v>
      </c>
      <c r="K16">
        <v>0</v>
      </c>
      <c r="L16">
        <v>1</v>
      </c>
      <c r="M16">
        <f t="shared" si="2"/>
        <v>1</v>
      </c>
      <c r="N16">
        <f t="shared" si="3"/>
        <v>1</v>
      </c>
      <c r="O16">
        <f t="shared" si="5"/>
        <v>0</v>
      </c>
      <c r="P16">
        <v>0</v>
      </c>
      <c r="Q16">
        <v>0</v>
      </c>
      <c r="R16">
        <v>0</v>
      </c>
      <c r="S16">
        <v>1</v>
      </c>
      <c r="T16">
        <f t="shared" si="4"/>
        <v>1</v>
      </c>
      <c r="U16">
        <f t="shared" si="6"/>
        <v>0</v>
      </c>
      <c r="V16">
        <v>0</v>
      </c>
    </row>
    <row r="17" spans="1:22" x14ac:dyDescent="0.3">
      <c r="A17" t="s">
        <v>22</v>
      </c>
      <c r="B17" t="s">
        <v>52</v>
      </c>
      <c r="C17">
        <v>76</v>
      </c>
      <c r="D17" t="s">
        <v>30</v>
      </c>
      <c r="E17" t="s">
        <v>31</v>
      </c>
      <c r="F17" t="s">
        <v>38</v>
      </c>
      <c r="G17">
        <f t="shared" si="0"/>
        <v>2</v>
      </c>
      <c r="H17">
        <v>1156</v>
      </c>
      <c r="I17">
        <f t="shared" si="1"/>
        <v>0</v>
      </c>
      <c r="J17">
        <v>0</v>
      </c>
      <c r="K17">
        <v>0</v>
      </c>
      <c r="L17">
        <v>1</v>
      </c>
      <c r="M17">
        <f t="shared" si="2"/>
        <v>1</v>
      </c>
      <c r="N17">
        <f t="shared" si="3"/>
        <v>1</v>
      </c>
      <c r="O17">
        <f t="shared" si="5"/>
        <v>1</v>
      </c>
      <c r="P17">
        <v>0</v>
      </c>
      <c r="Q17">
        <v>0</v>
      </c>
      <c r="R17">
        <v>0</v>
      </c>
      <c r="S17">
        <v>1</v>
      </c>
      <c r="T17">
        <f t="shared" si="4"/>
        <v>1</v>
      </c>
      <c r="U17">
        <f t="shared" si="6"/>
        <v>1</v>
      </c>
      <c r="V17">
        <v>0</v>
      </c>
    </row>
    <row r="18" spans="1:22" x14ac:dyDescent="0.3">
      <c r="A18" t="s">
        <v>22</v>
      </c>
      <c r="B18" t="s">
        <v>53</v>
      </c>
      <c r="C18">
        <v>71</v>
      </c>
      <c r="D18" t="s">
        <v>54</v>
      </c>
      <c r="E18" t="s">
        <v>41</v>
      </c>
      <c r="F18" t="s">
        <v>38</v>
      </c>
      <c r="G18">
        <f t="shared" si="0"/>
        <v>2</v>
      </c>
      <c r="H18">
        <v>1</v>
      </c>
      <c r="I18">
        <f t="shared" si="1"/>
        <v>0</v>
      </c>
      <c r="J18">
        <v>0</v>
      </c>
      <c r="K18">
        <v>0</v>
      </c>
      <c r="L18">
        <v>1</v>
      </c>
      <c r="M18">
        <f t="shared" si="2"/>
        <v>1</v>
      </c>
      <c r="N18">
        <f t="shared" si="3"/>
        <v>1</v>
      </c>
      <c r="O18">
        <f t="shared" si="5"/>
        <v>0</v>
      </c>
      <c r="P18">
        <v>0</v>
      </c>
      <c r="Q18">
        <v>0</v>
      </c>
      <c r="R18">
        <v>0</v>
      </c>
      <c r="S18">
        <v>1</v>
      </c>
      <c r="T18">
        <f t="shared" si="4"/>
        <v>1</v>
      </c>
      <c r="U18">
        <f t="shared" si="6"/>
        <v>0</v>
      </c>
      <c r="V18">
        <v>0</v>
      </c>
    </row>
    <row r="19" spans="1:22" x14ac:dyDescent="0.3">
      <c r="A19" t="s">
        <v>22</v>
      </c>
      <c r="B19" t="s">
        <v>55</v>
      </c>
      <c r="C19">
        <v>67</v>
      </c>
      <c r="D19" t="s">
        <v>56</v>
      </c>
      <c r="E19" t="s">
        <v>31</v>
      </c>
      <c r="F19" t="s">
        <v>38</v>
      </c>
      <c r="G19">
        <f t="shared" si="0"/>
        <v>2</v>
      </c>
      <c r="H19">
        <v>1</v>
      </c>
      <c r="I19">
        <f t="shared" si="1"/>
        <v>0</v>
      </c>
      <c r="J19">
        <v>0</v>
      </c>
      <c r="K19">
        <v>0</v>
      </c>
      <c r="L19">
        <v>1</v>
      </c>
      <c r="M19">
        <f t="shared" si="2"/>
        <v>1</v>
      </c>
      <c r="N19">
        <f t="shared" si="3"/>
        <v>1</v>
      </c>
      <c r="O19">
        <f t="shared" si="5"/>
        <v>0</v>
      </c>
      <c r="P19">
        <v>0</v>
      </c>
      <c r="Q19">
        <v>0</v>
      </c>
      <c r="R19">
        <v>0</v>
      </c>
      <c r="S19">
        <v>1</v>
      </c>
      <c r="T19">
        <f t="shared" si="4"/>
        <v>1</v>
      </c>
      <c r="U19">
        <f t="shared" si="6"/>
        <v>0</v>
      </c>
      <c r="V19">
        <v>0</v>
      </c>
    </row>
    <row r="20" spans="1:22" x14ac:dyDescent="0.3">
      <c r="A20" t="s">
        <v>22</v>
      </c>
      <c r="B20" t="s">
        <v>57</v>
      </c>
      <c r="C20">
        <v>70</v>
      </c>
      <c r="D20" t="s">
        <v>56</v>
      </c>
      <c r="E20" t="s">
        <v>31</v>
      </c>
      <c r="F20" t="s">
        <v>38</v>
      </c>
      <c r="G20">
        <f t="shared" si="0"/>
        <v>2</v>
      </c>
      <c r="H20">
        <v>1</v>
      </c>
      <c r="I20">
        <f t="shared" si="1"/>
        <v>0</v>
      </c>
      <c r="J20">
        <v>0</v>
      </c>
      <c r="K20">
        <v>0</v>
      </c>
      <c r="L20">
        <v>1</v>
      </c>
      <c r="M20">
        <f t="shared" si="2"/>
        <v>1</v>
      </c>
      <c r="N20">
        <f t="shared" si="3"/>
        <v>1</v>
      </c>
      <c r="O20">
        <f t="shared" si="5"/>
        <v>0</v>
      </c>
      <c r="P20">
        <v>0</v>
      </c>
      <c r="Q20">
        <v>0</v>
      </c>
      <c r="R20">
        <v>0</v>
      </c>
      <c r="S20">
        <v>1</v>
      </c>
      <c r="T20">
        <f t="shared" si="4"/>
        <v>1</v>
      </c>
      <c r="U20">
        <f t="shared" si="6"/>
        <v>0</v>
      </c>
      <c r="V20">
        <v>0</v>
      </c>
    </row>
    <row r="21" spans="1:22" x14ac:dyDescent="0.3">
      <c r="A21" t="s">
        <v>22</v>
      </c>
      <c r="B21" t="s">
        <v>58</v>
      </c>
      <c r="C21">
        <v>88</v>
      </c>
      <c r="D21" t="s">
        <v>54</v>
      </c>
      <c r="E21" t="s">
        <v>34</v>
      </c>
      <c r="F21" t="s">
        <v>38</v>
      </c>
      <c r="G21">
        <f t="shared" si="0"/>
        <v>2</v>
      </c>
      <c r="H21">
        <v>1</v>
      </c>
      <c r="I21">
        <f t="shared" si="1"/>
        <v>0</v>
      </c>
      <c r="J21">
        <v>0</v>
      </c>
      <c r="K21">
        <v>0</v>
      </c>
      <c r="L21">
        <v>1</v>
      </c>
      <c r="M21">
        <f t="shared" si="2"/>
        <v>1</v>
      </c>
      <c r="N21">
        <f t="shared" si="3"/>
        <v>1</v>
      </c>
      <c r="O21">
        <f t="shared" si="5"/>
        <v>0</v>
      </c>
      <c r="P21">
        <v>0</v>
      </c>
      <c r="Q21">
        <v>0</v>
      </c>
      <c r="R21">
        <v>0</v>
      </c>
      <c r="S21">
        <v>1</v>
      </c>
      <c r="T21">
        <f t="shared" si="4"/>
        <v>1</v>
      </c>
      <c r="U21">
        <f t="shared" si="6"/>
        <v>0</v>
      </c>
      <c r="V21">
        <v>0</v>
      </c>
    </row>
    <row r="22" spans="1:22" x14ac:dyDescent="0.3">
      <c r="A22" t="s">
        <v>22</v>
      </c>
      <c r="B22" t="s">
        <v>59</v>
      </c>
      <c r="C22">
        <v>73</v>
      </c>
      <c r="D22" t="s">
        <v>46</v>
      </c>
      <c r="E22" t="s">
        <v>34</v>
      </c>
      <c r="F22" t="s">
        <v>60</v>
      </c>
      <c r="G22">
        <f t="shared" si="0"/>
        <v>1</v>
      </c>
      <c r="H22">
        <v>1</v>
      </c>
      <c r="I22">
        <f t="shared" si="1"/>
        <v>1</v>
      </c>
      <c r="J22">
        <v>0</v>
      </c>
      <c r="K22">
        <v>0</v>
      </c>
      <c r="L22">
        <v>1</v>
      </c>
      <c r="M22">
        <f t="shared" si="2"/>
        <v>1</v>
      </c>
      <c r="N22">
        <f t="shared" si="3"/>
        <v>1</v>
      </c>
      <c r="O22">
        <f t="shared" si="5"/>
        <v>0</v>
      </c>
      <c r="P22">
        <v>0</v>
      </c>
      <c r="Q22">
        <v>0</v>
      </c>
      <c r="R22">
        <v>0</v>
      </c>
      <c r="S22">
        <v>1</v>
      </c>
      <c r="T22">
        <f t="shared" si="4"/>
        <v>1</v>
      </c>
      <c r="U22">
        <f t="shared" si="6"/>
        <v>0</v>
      </c>
      <c r="V22">
        <v>0</v>
      </c>
    </row>
    <row r="23" spans="1:22" x14ac:dyDescent="0.3">
      <c r="A23" t="s">
        <v>22</v>
      </c>
      <c r="B23" t="s">
        <v>61</v>
      </c>
      <c r="C23">
        <v>32</v>
      </c>
      <c r="D23" t="s">
        <v>56</v>
      </c>
      <c r="E23" t="s">
        <v>41</v>
      </c>
      <c r="F23" t="s">
        <v>60</v>
      </c>
      <c r="G23">
        <f t="shared" si="0"/>
        <v>1</v>
      </c>
      <c r="H23">
        <v>37</v>
      </c>
      <c r="I23">
        <f t="shared" si="1"/>
        <v>0</v>
      </c>
      <c r="J23">
        <v>0</v>
      </c>
      <c r="K23">
        <v>0</v>
      </c>
      <c r="L23">
        <v>1</v>
      </c>
      <c r="M23">
        <f t="shared" si="2"/>
        <v>1</v>
      </c>
      <c r="N23">
        <f t="shared" si="3"/>
        <v>1</v>
      </c>
      <c r="O23">
        <f t="shared" si="5"/>
        <v>0</v>
      </c>
      <c r="P23">
        <v>0</v>
      </c>
      <c r="Q23">
        <v>0</v>
      </c>
      <c r="R23">
        <v>0</v>
      </c>
      <c r="S23">
        <v>1</v>
      </c>
      <c r="T23">
        <f t="shared" si="4"/>
        <v>1</v>
      </c>
      <c r="U23">
        <f t="shared" si="6"/>
        <v>0</v>
      </c>
      <c r="V23">
        <v>0</v>
      </c>
    </row>
    <row r="24" spans="1:22" x14ac:dyDescent="0.3">
      <c r="A24" t="s">
        <v>22</v>
      </c>
      <c r="B24" t="s">
        <v>62</v>
      </c>
      <c r="C24">
        <v>47</v>
      </c>
      <c r="D24" t="s">
        <v>54</v>
      </c>
      <c r="E24" t="s">
        <v>31</v>
      </c>
      <c r="F24" t="s">
        <v>60</v>
      </c>
      <c r="G24">
        <f t="shared" si="0"/>
        <v>1</v>
      </c>
      <c r="H24">
        <v>1</v>
      </c>
      <c r="I24">
        <f t="shared" si="1"/>
        <v>0</v>
      </c>
      <c r="J24">
        <v>0</v>
      </c>
      <c r="K24">
        <v>0</v>
      </c>
      <c r="L24">
        <v>1</v>
      </c>
      <c r="M24">
        <f t="shared" si="2"/>
        <v>1</v>
      </c>
      <c r="N24">
        <f t="shared" si="3"/>
        <v>1</v>
      </c>
      <c r="O24">
        <f t="shared" si="5"/>
        <v>0</v>
      </c>
      <c r="P24">
        <v>0</v>
      </c>
      <c r="Q24">
        <v>0</v>
      </c>
      <c r="R24">
        <v>0</v>
      </c>
      <c r="S24">
        <v>1</v>
      </c>
      <c r="T24">
        <f t="shared" si="4"/>
        <v>1</v>
      </c>
      <c r="U24">
        <f t="shared" si="6"/>
        <v>0</v>
      </c>
      <c r="V24">
        <v>0</v>
      </c>
    </row>
    <row r="25" spans="1:22" x14ac:dyDescent="0.3">
      <c r="A25" t="s">
        <v>22</v>
      </c>
      <c r="B25" t="s">
        <v>63</v>
      </c>
      <c r="C25">
        <v>56</v>
      </c>
      <c r="D25" t="s">
        <v>30</v>
      </c>
      <c r="E25" t="s">
        <v>34</v>
      </c>
      <c r="F25" t="s">
        <v>60</v>
      </c>
      <c r="G25">
        <f t="shared" si="0"/>
        <v>1</v>
      </c>
      <c r="H25">
        <v>1</v>
      </c>
      <c r="I25">
        <f t="shared" si="1"/>
        <v>0</v>
      </c>
      <c r="J25">
        <v>0</v>
      </c>
      <c r="K25">
        <v>0</v>
      </c>
      <c r="L25">
        <v>1</v>
      </c>
      <c r="M25">
        <f t="shared" si="2"/>
        <v>1</v>
      </c>
      <c r="N25">
        <f t="shared" si="3"/>
        <v>1</v>
      </c>
      <c r="O25">
        <f t="shared" si="5"/>
        <v>0</v>
      </c>
      <c r="P25">
        <v>0</v>
      </c>
      <c r="Q25">
        <v>0</v>
      </c>
      <c r="R25">
        <v>0</v>
      </c>
      <c r="S25">
        <v>1</v>
      </c>
      <c r="T25">
        <f t="shared" si="4"/>
        <v>1</v>
      </c>
      <c r="U25">
        <f t="shared" si="6"/>
        <v>0</v>
      </c>
      <c r="V25">
        <v>0</v>
      </c>
    </row>
    <row r="26" spans="1:22" x14ac:dyDescent="0.3">
      <c r="A26" t="s">
        <v>22</v>
      </c>
      <c r="B26" t="s">
        <v>64</v>
      </c>
      <c r="C26">
        <v>129</v>
      </c>
      <c r="D26" t="s">
        <v>46</v>
      </c>
      <c r="E26" t="s">
        <v>41</v>
      </c>
      <c r="F26" t="s">
        <v>65</v>
      </c>
      <c r="G26">
        <f t="shared" si="0"/>
        <v>3</v>
      </c>
      <c r="H26">
        <v>174</v>
      </c>
      <c r="I26">
        <f t="shared" si="1"/>
        <v>1</v>
      </c>
      <c r="J26">
        <v>0</v>
      </c>
      <c r="K26">
        <v>0</v>
      </c>
      <c r="L26">
        <v>1</v>
      </c>
      <c r="M26">
        <f t="shared" si="2"/>
        <v>1</v>
      </c>
      <c r="N26">
        <f t="shared" si="3"/>
        <v>1</v>
      </c>
      <c r="O26">
        <f t="shared" si="5"/>
        <v>0</v>
      </c>
      <c r="P26">
        <v>0</v>
      </c>
      <c r="Q26">
        <v>0</v>
      </c>
      <c r="R26">
        <v>0</v>
      </c>
      <c r="S26">
        <v>1</v>
      </c>
      <c r="T26">
        <f t="shared" si="4"/>
        <v>1</v>
      </c>
      <c r="U26">
        <f t="shared" si="6"/>
        <v>0</v>
      </c>
      <c r="V26">
        <v>0</v>
      </c>
    </row>
    <row r="27" spans="1:22" x14ac:dyDescent="0.3">
      <c r="A27" t="s">
        <v>22</v>
      </c>
      <c r="B27" t="s">
        <v>66</v>
      </c>
      <c r="C27">
        <v>132</v>
      </c>
      <c r="D27" t="s">
        <v>46</v>
      </c>
      <c r="E27" t="s">
        <v>41</v>
      </c>
      <c r="F27" t="s">
        <v>65</v>
      </c>
      <c r="G27">
        <f t="shared" si="0"/>
        <v>3</v>
      </c>
      <c r="H27">
        <v>1</v>
      </c>
      <c r="I27">
        <f t="shared" si="1"/>
        <v>1</v>
      </c>
      <c r="J27">
        <v>0</v>
      </c>
      <c r="K27">
        <v>0</v>
      </c>
      <c r="L27">
        <v>1</v>
      </c>
      <c r="M27">
        <f t="shared" si="2"/>
        <v>1</v>
      </c>
      <c r="N27">
        <f t="shared" si="3"/>
        <v>1</v>
      </c>
      <c r="O27">
        <f t="shared" si="5"/>
        <v>0</v>
      </c>
      <c r="P27">
        <v>0</v>
      </c>
      <c r="Q27">
        <v>0</v>
      </c>
      <c r="R27">
        <v>0</v>
      </c>
      <c r="S27">
        <v>1</v>
      </c>
      <c r="T27">
        <f t="shared" si="4"/>
        <v>1</v>
      </c>
      <c r="U27">
        <f t="shared" si="6"/>
        <v>0</v>
      </c>
      <c r="V27">
        <v>0</v>
      </c>
    </row>
    <row r="28" spans="1:22" x14ac:dyDescent="0.3">
      <c r="A28" t="s">
        <v>22</v>
      </c>
      <c r="B28" t="s">
        <v>67</v>
      </c>
      <c r="C28">
        <v>147</v>
      </c>
      <c r="D28" t="s">
        <v>46</v>
      </c>
      <c r="E28" t="s">
        <v>34</v>
      </c>
      <c r="F28" t="s">
        <v>65</v>
      </c>
      <c r="G28">
        <f t="shared" si="0"/>
        <v>3</v>
      </c>
      <c r="H28">
        <v>1</v>
      </c>
      <c r="I28">
        <f t="shared" si="1"/>
        <v>1</v>
      </c>
      <c r="J28">
        <v>0</v>
      </c>
      <c r="K28">
        <v>0</v>
      </c>
      <c r="L28">
        <v>1</v>
      </c>
      <c r="M28">
        <f t="shared" si="2"/>
        <v>1</v>
      </c>
      <c r="N28">
        <f t="shared" si="3"/>
        <v>1</v>
      </c>
      <c r="O28">
        <f t="shared" si="5"/>
        <v>0</v>
      </c>
      <c r="P28">
        <v>0</v>
      </c>
      <c r="Q28">
        <v>0</v>
      </c>
      <c r="R28">
        <v>0</v>
      </c>
      <c r="S28">
        <v>1</v>
      </c>
      <c r="T28">
        <f t="shared" si="4"/>
        <v>1</v>
      </c>
      <c r="U28">
        <f t="shared" si="6"/>
        <v>0</v>
      </c>
      <c r="V28">
        <v>0</v>
      </c>
    </row>
    <row r="29" spans="1:22" x14ac:dyDescent="0.3">
      <c r="A29" t="s">
        <v>22</v>
      </c>
      <c r="B29" t="s">
        <v>68</v>
      </c>
      <c r="C29">
        <v>118</v>
      </c>
      <c r="D29" t="s">
        <v>46</v>
      </c>
      <c r="E29" t="s">
        <v>41</v>
      </c>
      <c r="F29" t="s">
        <v>65</v>
      </c>
      <c r="G29">
        <f t="shared" si="0"/>
        <v>3</v>
      </c>
      <c r="H29">
        <v>1341</v>
      </c>
      <c r="I29">
        <f t="shared" si="1"/>
        <v>1</v>
      </c>
      <c r="J29">
        <v>0</v>
      </c>
      <c r="K29">
        <v>0</v>
      </c>
      <c r="L29">
        <v>1</v>
      </c>
      <c r="M29">
        <f t="shared" si="2"/>
        <v>1</v>
      </c>
      <c r="N29">
        <f t="shared" si="3"/>
        <v>1</v>
      </c>
      <c r="O29">
        <f t="shared" si="5"/>
        <v>1</v>
      </c>
      <c r="P29">
        <v>0</v>
      </c>
      <c r="Q29">
        <v>0</v>
      </c>
      <c r="R29">
        <v>0</v>
      </c>
      <c r="S29">
        <v>1</v>
      </c>
      <c r="T29">
        <f t="shared" si="4"/>
        <v>1</v>
      </c>
      <c r="U29">
        <f t="shared" si="6"/>
        <v>1</v>
      </c>
      <c r="V29">
        <v>0</v>
      </c>
    </row>
    <row r="30" spans="1:22" x14ac:dyDescent="0.3">
      <c r="A30" t="s">
        <v>22</v>
      </c>
      <c r="B30" t="s">
        <v>69</v>
      </c>
      <c r="C30">
        <v>79</v>
      </c>
      <c r="D30" t="s">
        <v>56</v>
      </c>
      <c r="E30" t="s">
        <v>37</v>
      </c>
      <c r="F30" t="s">
        <v>65</v>
      </c>
      <c r="G30">
        <f t="shared" si="0"/>
        <v>3</v>
      </c>
      <c r="H30">
        <v>1018</v>
      </c>
      <c r="I30">
        <f t="shared" si="1"/>
        <v>0</v>
      </c>
      <c r="J30">
        <v>0</v>
      </c>
      <c r="K30">
        <v>0</v>
      </c>
      <c r="L30">
        <v>1</v>
      </c>
      <c r="M30">
        <f t="shared" si="2"/>
        <v>1</v>
      </c>
      <c r="N30">
        <f t="shared" si="3"/>
        <v>0</v>
      </c>
      <c r="O30">
        <f t="shared" si="5"/>
        <v>1</v>
      </c>
      <c r="P30">
        <v>0</v>
      </c>
      <c r="Q30">
        <v>0</v>
      </c>
      <c r="R30">
        <v>0</v>
      </c>
      <c r="S30">
        <v>1</v>
      </c>
      <c r="T30">
        <f t="shared" si="4"/>
        <v>0</v>
      </c>
      <c r="U30">
        <f t="shared" si="6"/>
        <v>1</v>
      </c>
      <c r="V30">
        <v>0</v>
      </c>
    </row>
    <row r="31" spans="1:22" x14ac:dyDescent="0.3">
      <c r="A31" t="s">
        <v>22</v>
      </c>
      <c r="B31" t="s">
        <v>70</v>
      </c>
      <c r="C31">
        <v>79</v>
      </c>
      <c r="D31" t="s">
        <v>56</v>
      </c>
      <c r="E31" t="s">
        <v>41</v>
      </c>
      <c r="F31" t="s">
        <v>65</v>
      </c>
      <c r="G31">
        <f t="shared" si="0"/>
        <v>3</v>
      </c>
      <c r="H31">
        <v>860</v>
      </c>
      <c r="I31">
        <f t="shared" si="1"/>
        <v>0</v>
      </c>
      <c r="J31">
        <v>0</v>
      </c>
      <c r="K31">
        <v>0</v>
      </c>
      <c r="L31">
        <v>1</v>
      </c>
      <c r="M31">
        <f t="shared" si="2"/>
        <v>1</v>
      </c>
      <c r="N31">
        <f t="shared" si="3"/>
        <v>1</v>
      </c>
      <c r="O31">
        <f t="shared" si="5"/>
        <v>1</v>
      </c>
      <c r="P31">
        <v>0</v>
      </c>
      <c r="Q31">
        <v>0</v>
      </c>
      <c r="R31">
        <v>0</v>
      </c>
      <c r="S31">
        <v>1</v>
      </c>
      <c r="T31">
        <f t="shared" si="4"/>
        <v>1</v>
      </c>
      <c r="U31">
        <f t="shared" si="6"/>
        <v>1</v>
      </c>
      <c r="V31">
        <v>0</v>
      </c>
    </row>
    <row r="32" spans="1:22" x14ac:dyDescent="0.3">
      <c r="A32" t="s">
        <v>22</v>
      </c>
      <c r="B32" t="s">
        <v>71</v>
      </c>
      <c r="C32">
        <v>128</v>
      </c>
      <c r="D32" t="s">
        <v>54</v>
      </c>
      <c r="E32" t="s">
        <v>34</v>
      </c>
      <c r="F32" t="s">
        <v>65</v>
      </c>
      <c r="G32">
        <f t="shared" si="0"/>
        <v>3</v>
      </c>
      <c r="H32">
        <v>502</v>
      </c>
      <c r="I32">
        <f t="shared" si="1"/>
        <v>0</v>
      </c>
      <c r="J32">
        <v>0</v>
      </c>
      <c r="K32">
        <v>0</v>
      </c>
      <c r="L32">
        <v>1</v>
      </c>
      <c r="M32">
        <f t="shared" si="2"/>
        <v>1</v>
      </c>
      <c r="N32">
        <f t="shared" si="3"/>
        <v>1</v>
      </c>
      <c r="O32">
        <f t="shared" si="5"/>
        <v>1</v>
      </c>
      <c r="P32">
        <v>0</v>
      </c>
      <c r="Q32">
        <v>0</v>
      </c>
      <c r="R32">
        <v>0</v>
      </c>
      <c r="S32">
        <v>1</v>
      </c>
      <c r="T32">
        <f t="shared" si="4"/>
        <v>1</v>
      </c>
      <c r="U32">
        <f t="shared" si="6"/>
        <v>1</v>
      </c>
      <c r="V32">
        <v>0</v>
      </c>
    </row>
    <row r="33" spans="1:22" x14ac:dyDescent="0.3">
      <c r="A33" t="s">
        <v>22</v>
      </c>
      <c r="B33" t="s">
        <v>72</v>
      </c>
      <c r="C33">
        <v>46</v>
      </c>
      <c r="D33" t="s">
        <v>73</v>
      </c>
      <c r="E33" t="s">
        <v>31</v>
      </c>
      <c r="F33" t="s">
        <v>65</v>
      </c>
      <c r="G33">
        <f t="shared" si="0"/>
        <v>3</v>
      </c>
      <c r="H33">
        <v>376</v>
      </c>
      <c r="I33">
        <f t="shared" si="1"/>
        <v>0</v>
      </c>
      <c r="J33">
        <v>0</v>
      </c>
      <c r="K33">
        <v>0</v>
      </c>
      <c r="L33">
        <v>1</v>
      </c>
      <c r="M33">
        <f t="shared" si="2"/>
        <v>0</v>
      </c>
      <c r="N33">
        <f t="shared" si="3"/>
        <v>0</v>
      </c>
      <c r="O33">
        <f t="shared" si="5"/>
        <v>0</v>
      </c>
      <c r="P33">
        <v>0</v>
      </c>
      <c r="Q33">
        <v>0</v>
      </c>
      <c r="R33">
        <v>0</v>
      </c>
      <c r="S33">
        <v>1</v>
      </c>
      <c r="T33">
        <f t="shared" si="4"/>
        <v>1</v>
      </c>
      <c r="U33">
        <f t="shared" si="6"/>
        <v>1</v>
      </c>
      <c r="V33">
        <v>0</v>
      </c>
    </row>
    <row r="34" spans="1:22" x14ac:dyDescent="0.3">
      <c r="A34" t="s">
        <v>22</v>
      </c>
      <c r="B34" t="s">
        <v>74</v>
      </c>
      <c r="C34">
        <v>58</v>
      </c>
      <c r="D34" t="s">
        <v>73</v>
      </c>
      <c r="E34" t="s">
        <v>34</v>
      </c>
      <c r="F34" t="s">
        <v>65</v>
      </c>
      <c r="G34">
        <f t="shared" si="0"/>
        <v>3</v>
      </c>
      <c r="H34">
        <v>396</v>
      </c>
      <c r="I34">
        <f t="shared" si="1"/>
        <v>0</v>
      </c>
      <c r="J34">
        <v>0</v>
      </c>
      <c r="K34">
        <v>0</v>
      </c>
      <c r="L34">
        <v>1</v>
      </c>
      <c r="M34">
        <f t="shared" si="2"/>
        <v>0</v>
      </c>
      <c r="N34">
        <f t="shared" si="3"/>
        <v>0</v>
      </c>
      <c r="O34">
        <f t="shared" si="5"/>
        <v>0</v>
      </c>
      <c r="P34">
        <v>0</v>
      </c>
      <c r="Q34">
        <v>0</v>
      </c>
      <c r="R34">
        <v>0</v>
      </c>
      <c r="S34">
        <v>1</v>
      </c>
      <c r="T34">
        <f t="shared" si="4"/>
        <v>1</v>
      </c>
      <c r="U34">
        <f t="shared" si="6"/>
        <v>1</v>
      </c>
      <c r="V34">
        <v>0</v>
      </c>
    </row>
    <row r="35" spans="1:22" x14ac:dyDescent="0.3">
      <c r="A35" t="s">
        <v>22</v>
      </c>
      <c r="B35" t="s">
        <v>75</v>
      </c>
      <c r="C35">
        <v>51</v>
      </c>
      <c r="D35" t="s">
        <v>56</v>
      </c>
      <c r="E35" t="s">
        <v>31</v>
      </c>
      <c r="F35" t="s">
        <v>65</v>
      </c>
      <c r="G35">
        <f t="shared" si="0"/>
        <v>3</v>
      </c>
      <c r="H35">
        <v>9</v>
      </c>
      <c r="I35">
        <f t="shared" si="1"/>
        <v>0</v>
      </c>
      <c r="J35">
        <v>0</v>
      </c>
      <c r="K35">
        <v>0</v>
      </c>
      <c r="L35">
        <v>1</v>
      </c>
      <c r="M35">
        <f t="shared" si="2"/>
        <v>1</v>
      </c>
      <c r="N35">
        <f t="shared" si="3"/>
        <v>1</v>
      </c>
      <c r="O35">
        <f t="shared" si="5"/>
        <v>0</v>
      </c>
      <c r="P35">
        <v>0</v>
      </c>
      <c r="Q35">
        <v>0</v>
      </c>
      <c r="R35">
        <v>0</v>
      </c>
      <c r="S35">
        <v>1</v>
      </c>
      <c r="T35">
        <f t="shared" si="4"/>
        <v>1</v>
      </c>
      <c r="U35">
        <f t="shared" si="6"/>
        <v>0</v>
      </c>
      <c r="V35">
        <v>0</v>
      </c>
    </row>
    <row r="36" spans="1:22" x14ac:dyDescent="0.3">
      <c r="A36" t="s">
        <v>22</v>
      </c>
      <c r="B36" t="s">
        <v>76</v>
      </c>
      <c r="C36">
        <v>74</v>
      </c>
      <c r="D36" t="s">
        <v>56</v>
      </c>
      <c r="E36" t="s">
        <v>41</v>
      </c>
      <c r="F36" t="s">
        <v>65</v>
      </c>
      <c r="G36">
        <f t="shared" si="0"/>
        <v>3</v>
      </c>
      <c r="H36">
        <v>46</v>
      </c>
      <c r="I36">
        <f t="shared" si="1"/>
        <v>0</v>
      </c>
      <c r="J36">
        <v>0</v>
      </c>
      <c r="K36">
        <v>0</v>
      </c>
      <c r="L36">
        <v>1</v>
      </c>
      <c r="M36">
        <f t="shared" si="2"/>
        <v>1</v>
      </c>
      <c r="N36">
        <f t="shared" si="3"/>
        <v>1</v>
      </c>
      <c r="O36">
        <f t="shared" si="5"/>
        <v>0</v>
      </c>
      <c r="P36">
        <v>0</v>
      </c>
      <c r="Q36">
        <v>0</v>
      </c>
      <c r="R36">
        <v>0</v>
      </c>
      <c r="S36">
        <v>1</v>
      </c>
      <c r="T36">
        <f t="shared" si="4"/>
        <v>1</v>
      </c>
      <c r="U36">
        <f t="shared" si="6"/>
        <v>0</v>
      </c>
      <c r="V36">
        <v>0</v>
      </c>
    </row>
    <row r="37" spans="1:22" x14ac:dyDescent="0.3">
      <c r="A37" t="s">
        <v>22</v>
      </c>
      <c r="B37" t="s">
        <v>77</v>
      </c>
      <c r="C37">
        <v>74</v>
      </c>
      <c r="D37" t="s">
        <v>56</v>
      </c>
      <c r="E37" t="s">
        <v>41</v>
      </c>
      <c r="F37" t="s">
        <v>65</v>
      </c>
      <c r="G37">
        <f t="shared" si="0"/>
        <v>3</v>
      </c>
      <c r="H37">
        <v>2</v>
      </c>
      <c r="I37">
        <f t="shared" si="1"/>
        <v>0</v>
      </c>
      <c r="J37">
        <v>0</v>
      </c>
      <c r="K37">
        <v>0</v>
      </c>
      <c r="L37">
        <v>1</v>
      </c>
      <c r="M37">
        <f t="shared" si="2"/>
        <v>1</v>
      </c>
      <c r="N37">
        <f t="shared" si="3"/>
        <v>1</v>
      </c>
      <c r="O37">
        <f t="shared" si="5"/>
        <v>0</v>
      </c>
      <c r="P37">
        <v>0</v>
      </c>
      <c r="Q37">
        <v>0</v>
      </c>
      <c r="R37">
        <v>0</v>
      </c>
      <c r="S37">
        <v>1</v>
      </c>
      <c r="T37">
        <f t="shared" si="4"/>
        <v>1</v>
      </c>
      <c r="U37">
        <f t="shared" si="6"/>
        <v>0</v>
      </c>
      <c r="V37">
        <v>0</v>
      </c>
    </row>
    <row r="38" spans="1:22" x14ac:dyDescent="0.3">
      <c r="A38" t="s">
        <v>22</v>
      </c>
      <c r="B38" t="s">
        <v>78</v>
      </c>
      <c r="C38">
        <v>99</v>
      </c>
      <c r="D38" t="s">
        <v>56</v>
      </c>
      <c r="E38" t="s">
        <v>34</v>
      </c>
      <c r="F38" t="s">
        <v>65</v>
      </c>
      <c r="G38">
        <f t="shared" si="0"/>
        <v>3</v>
      </c>
      <c r="H38">
        <v>1</v>
      </c>
      <c r="I38">
        <f t="shared" si="1"/>
        <v>0</v>
      </c>
      <c r="J38">
        <v>0</v>
      </c>
      <c r="K38">
        <v>0</v>
      </c>
      <c r="L38">
        <v>1</v>
      </c>
      <c r="M38">
        <f t="shared" si="2"/>
        <v>1</v>
      </c>
      <c r="N38">
        <f t="shared" si="3"/>
        <v>1</v>
      </c>
      <c r="O38">
        <f t="shared" si="5"/>
        <v>0</v>
      </c>
      <c r="P38">
        <v>0</v>
      </c>
      <c r="Q38">
        <v>0</v>
      </c>
      <c r="R38">
        <v>0</v>
      </c>
      <c r="S38">
        <v>1</v>
      </c>
      <c r="T38">
        <f t="shared" si="4"/>
        <v>1</v>
      </c>
      <c r="U38">
        <f t="shared" si="6"/>
        <v>0</v>
      </c>
      <c r="V38">
        <v>0</v>
      </c>
    </row>
    <row r="39" spans="1:22" x14ac:dyDescent="0.3">
      <c r="A39" t="s">
        <v>79</v>
      </c>
      <c r="B39" t="s">
        <v>80</v>
      </c>
      <c r="C39">
        <v>53</v>
      </c>
      <c r="D39" t="s">
        <v>73</v>
      </c>
      <c r="E39" t="s">
        <v>28</v>
      </c>
      <c r="F39" t="s">
        <v>26</v>
      </c>
      <c r="G39">
        <f t="shared" si="0"/>
        <v>4</v>
      </c>
      <c r="H39">
        <v>1029</v>
      </c>
      <c r="I39">
        <f t="shared" ref="I39:I102" si="7">IF(OR(D39="WR",D39="TE",D39="OL"),1,0)</f>
        <v>0</v>
      </c>
      <c r="J39">
        <f t="shared" ref="J39:J102" si="8">IF(OR(D39="WR", D39="TE"), 1, 0)</f>
        <v>0</v>
      </c>
      <c r="K39">
        <v>0</v>
      </c>
      <c r="L39">
        <v>0</v>
      </c>
      <c r="M39">
        <f t="shared" ref="M39:M102" si="9">IF(OR(D39="QB", D39="WR", D39="TE", D39="OL"), 1, 0)</f>
        <v>0</v>
      </c>
      <c r="N39">
        <f t="shared" ref="N39:N102" si="10">IF(AND(OR(D39="QB", D39="WR", D39="TE", D39="OL"), OR(E39="FR", E39="FR (RS)", E39="SO", E39="SO (RS)")), 1, 0)</f>
        <v>0</v>
      </c>
      <c r="O39">
        <f>IF(AND(OR(D39="QB", D39="WR", D39="TE"), H39&gt;300), 1, 0)</f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10</v>
      </c>
    </row>
    <row r="40" spans="1:22" x14ac:dyDescent="0.3">
      <c r="A40" t="s">
        <v>79</v>
      </c>
      <c r="B40" t="s">
        <v>81</v>
      </c>
      <c r="C40">
        <v>90</v>
      </c>
      <c r="D40" t="s">
        <v>43</v>
      </c>
      <c r="E40" t="s">
        <v>28</v>
      </c>
      <c r="F40" t="s">
        <v>26</v>
      </c>
      <c r="G40">
        <f t="shared" si="0"/>
        <v>4</v>
      </c>
      <c r="H40">
        <v>249</v>
      </c>
      <c r="I40">
        <f t="shared" si="7"/>
        <v>1</v>
      </c>
      <c r="J40">
        <f t="shared" si="8"/>
        <v>1</v>
      </c>
      <c r="K40">
        <v>0</v>
      </c>
      <c r="L40">
        <v>0</v>
      </c>
      <c r="M40">
        <f t="shared" si="9"/>
        <v>1</v>
      </c>
      <c r="N40">
        <f t="shared" si="10"/>
        <v>1</v>
      </c>
      <c r="O40">
        <f t="shared" ref="O40:O102" si="11">IF(AND(OR(D40="QB", D40="WR", D40="TE"), H40&gt;300), 1, 0)</f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10</v>
      </c>
    </row>
    <row r="41" spans="1:22" x14ac:dyDescent="0.3">
      <c r="A41" t="s">
        <v>79</v>
      </c>
      <c r="B41" t="s">
        <v>82</v>
      </c>
      <c r="C41">
        <v>47</v>
      </c>
      <c r="D41" t="s">
        <v>36</v>
      </c>
      <c r="E41" t="s">
        <v>34</v>
      </c>
      <c r="F41" t="s">
        <v>38</v>
      </c>
      <c r="G41">
        <f t="shared" si="0"/>
        <v>2</v>
      </c>
      <c r="H41">
        <v>0</v>
      </c>
      <c r="I41">
        <f t="shared" si="7"/>
        <v>0</v>
      </c>
      <c r="J41">
        <f t="shared" si="8"/>
        <v>0</v>
      </c>
      <c r="K41">
        <v>0</v>
      </c>
      <c r="L41">
        <v>0</v>
      </c>
      <c r="M41">
        <f t="shared" si="9"/>
        <v>1</v>
      </c>
      <c r="N41">
        <f t="shared" si="10"/>
        <v>1</v>
      </c>
      <c r="O41">
        <f t="shared" si="11"/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10</v>
      </c>
    </row>
    <row r="42" spans="1:22" x14ac:dyDescent="0.3">
      <c r="A42" t="s">
        <v>79</v>
      </c>
      <c r="B42" t="s">
        <v>83</v>
      </c>
      <c r="C42">
        <v>34</v>
      </c>
      <c r="D42" t="s">
        <v>24</v>
      </c>
      <c r="E42" t="s">
        <v>41</v>
      </c>
      <c r="F42" t="s">
        <v>38</v>
      </c>
      <c r="G42">
        <f t="shared" si="0"/>
        <v>2</v>
      </c>
      <c r="H42">
        <v>738</v>
      </c>
      <c r="I42">
        <f t="shared" si="7"/>
        <v>0</v>
      </c>
      <c r="J42">
        <f t="shared" si="8"/>
        <v>0</v>
      </c>
      <c r="K42">
        <v>0</v>
      </c>
      <c r="L42">
        <v>0</v>
      </c>
      <c r="M42">
        <f t="shared" si="9"/>
        <v>0</v>
      </c>
      <c r="N42">
        <f t="shared" si="10"/>
        <v>0</v>
      </c>
      <c r="O42">
        <f t="shared" si="11"/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10</v>
      </c>
    </row>
    <row r="43" spans="1:22" x14ac:dyDescent="0.3">
      <c r="A43" t="s">
        <v>79</v>
      </c>
      <c r="B43" t="s">
        <v>84</v>
      </c>
      <c r="C43">
        <v>46</v>
      </c>
      <c r="D43" t="s">
        <v>40</v>
      </c>
      <c r="E43" t="s">
        <v>34</v>
      </c>
      <c r="F43" t="s">
        <v>38</v>
      </c>
      <c r="G43">
        <f t="shared" si="0"/>
        <v>2</v>
      </c>
      <c r="H43">
        <v>84</v>
      </c>
      <c r="I43">
        <f t="shared" si="7"/>
        <v>1</v>
      </c>
      <c r="J43">
        <f t="shared" si="8"/>
        <v>1</v>
      </c>
      <c r="K43">
        <v>0</v>
      </c>
      <c r="L43">
        <v>0</v>
      </c>
      <c r="M43">
        <f t="shared" si="9"/>
        <v>1</v>
      </c>
      <c r="N43">
        <f t="shared" si="10"/>
        <v>1</v>
      </c>
      <c r="O43">
        <f t="shared" si="11"/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10</v>
      </c>
    </row>
    <row r="44" spans="1:22" x14ac:dyDescent="0.3">
      <c r="A44" t="s">
        <v>79</v>
      </c>
      <c r="B44" t="s">
        <v>85</v>
      </c>
      <c r="C44">
        <v>49</v>
      </c>
      <c r="D44" t="s">
        <v>43</v>
      </c>
      <c r="E44" t="s">
        <v>41</v>
      </c>
      <c r="F44" t="s">
        <v>38</v>
      </c>
      <c r="G44">
        <f t="shared" si="0"/>
        <v>2</v>
      </c>
      <c r="H44">
        <v>964</v>
      </c>
      <c r="I44">
        <f t="shared" si="7"/>
        <v>1</v>
      </c>
      <c r="J44">
        <f t="shared" si="8"/>
        <v>1</v>
      </c>
      <c r="K44">
        <v>0</v>
      </c>
      <c r="L44">
        <v>0</v>
      </c>
      <c r="M44">
        <f t="shared" si="9"/>
        <v>1</v>
      </c>
      <c r="N44">
        <f t="shared" si="10"/>
        <v>1</v>
      </c>
      <c r="O44">
        <f t="shared" si="11"/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10</v>
      </c>
    </row>
    <row r="45" spans="1:22" x14ac:dyDescent="0.3">
      <c r="A45" t="s">
        <v>79</v>
      </c>
      <c r="B45" t="s">
        <v>86</v>
      </c>
      <c r="C45">
        <v>40</v>
      </c>
      <c r="D45" t="s">
        <v>40</v>
      </c>
      <c r="E45" t="s">
        <v>25</v>
      </c>
      <c r="F45" t="s">
        <v>38</v>
      </c>
      <c r="G45">
        <f t="shared" si="0"/>
        <v>2</v>
      </c>
      <c r="H45">
        <v>278</v>
      </c>
      <c r="I45">
        <f t="shared" si="7"/>
        <v>1</v>
      </c>
      <c r="J45">
        <f t="shared" si="8"/>
        <v>1</v>
      </c>
      <c r="K45">
        <v>0</v>
      </c>
      <c r="L45">
        <v>0</v>
      </c>
      <c r="M45">
        <f t="shared" si="9"/>
        <v>1</v>
      </c>
      <c r="N45">
        <f t="shared" si="10"/>
        <v>0</v>
      </c>
      <c r="O45">
        <f t="shared" si="11"/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10</v>
      </c>
    </row>
    <row r="46" spans="1:22" x14ac:dyDescent="0.3">
      <c r="A46" t="s">
        <v>79</v>
      </c>
      <c r="B46" t="s">
        <v>87</v>
      </c>
      <c r="C46">
        <v>34</v>
      </c>
      <c r="D46" t="s">
        <v>24</v>
      </c>
      <c r="E46" t="s">
        <v>34</v>
      </c>
      <c r="F46" t="s">
        <v>38</v>
      </c>
      <c r="G46">
        <f t="shared" si="0"/>
        <v>2</v>
      </c>
      <c r="H46">
        <v>4</v>
      </c>
      <c r="I46">
        <f t="shared" si="7"/>
        <v>0</v>
      </c>
      <c r="J46">
        <f t="shared" si="8"/>
        <v>0</v>
      </c>
      <c r="K46">
        <v>0</v>
      </c>
      <c r="L46">
        <v>0</v>
      </c>
      <c r="M46">
        <f t="shared" si="9"/>
        <v>0</v>
      </c>
      <c r="N46">
        <f t="shared" si="10"/>
        <v>0</v>
      </c>
      <c r="O46">
        <f t="shared" si="11"/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10</v>
      </c>
    </row>
    <row r="47" spans="1:22" x14ac:dyDescent="0.3">
      <c r="A47" t="s">
        <v>79</v>
      </c>
      <c r="B47" t="s">
        <v>88</v>
      </c>
      <c r="C47">
        <v>32</v>
      </c>
      <c r="D47" t="s">
        <v>24</v>
      </c>
      <c r="E47" t="s">
        <v>28</v>
      </c>
      <c r="F47" t="s">
        <v>38</v>
      </c>
      <c r="G47">
        <f t="shared" si="0"/>
        <v>2</v>
      </c>
      <c r="H47">
        <v>0</v>
      </c>
      <c r="I47">
        <f t="shared" si="7"/>
        <v>0</v>
      </c>
      <c r="J47">
        <f t="shared" si="8"/>
        <v>0</v>
      </c>
      <c r="K47">
        <v>0</v>
      </c>
      <c r="L47">
        <v>0</v>
      </c>
      <c r="M47">
        <f t="shared" si="9"/>
        <v>0</v>
      </c>
      <c r="N47">
        <f t="shared" si="10"/>
        <v>0</v>
      </c>
      <c r="O47">
        <f t="shared" si="11"/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10</v>
      </c>
    </row>
    <row r="48" spans="1:22" x14ac:dyDescent="0.3">
      <c r="A48" t="s">
        <v>79</v>
      </c>
      <c r="B48" t="s">
        <v>89</v>
      </c>
      <c r="C48">
        <v>31</v>
      </c>
      <c r="D48" t="s">
        <v>24</v>
      </c>
      <c r="E48" t="s">
        <v>41</v>
      </c>
      <c r="F48" t="s">
        <v>38</v>
      </c>
      <c r="G48">
        <f t="shared" si="0"/>
        <v>2</v>
      </c>
      <c r="H48">
        <v>0</v>
      </c>
      <c r="I48">
        <f t="shared" si="7"/>
        <v>0</v>
      </c>
      <c r="J48">
        <f t="shared" si="8"/>
        <v>0</v>
      </c>
      <c r="K48">
        <v>0</v>
      </c>
      <c r="L48">
        <v>0</v>
      </c>
      <c r="M48">
        <f t="shared" si="9"/>
        <v>0</v>
      </c>
      <c r="N48">
        <f t="shared" si="10"/>
        <v>0</v>
      </c>
      <c r="O48">
        <f t="shared" si="11"/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10</v>
      </c>
    </row>
    <row r="49" spans="1:22" x14ac:dyDescent="0.3">
      <c r="A49" t="s">
        <v>79</v>
      </c>
      <c r="B49" t="s">
        <v>90</v>
      </c>
      <c r="C49">
        <v>46</v>
      </c>
      <c r="D49" t="s">
        <v>43</v>
      </c>
      <c r="E49" t="s">
        <v>41</v>
      </c>
      <c r="F49" t="s">
        <v>38</v>
      </c>
      <c r="G49">
        <f t="shared" si="0"/>
        <v>2</v>
      </c>
      <c r="H49">
        <v>0</v>
      </c>
      <c r="I49">
        <f t="shared" si="7"/>
        <v>1</v>
      </c>
      <c r="J49">
        <f t="shared" si="8"/>
        <v>1</v>
      </c>
      <c r="K49">
        <v>0</v>
      </c>
      <c r="L49">
        <v>0</v>
      </c>
      <c r="M49">
        <f t="shared" si="9"/>
        <v>1</v>
      </c>
      <c r="N49">
        <f t="shared" si="10"/>
        <v>1</v>
      </c>
      <c r="O49">
        <f t="shared" si="11"/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10</v>
      </c>
    </row>
    <row r="50" spans="1:22" x14ac:dyDescent="0.3">
      <c r="A50" t="s">
        <v>79</v>
      </c>
      <c r="B50" t="s">
        <v>91</v>
      </c>
      <c r="C50">
        <v>52</v>
      </c>
      <c r="D50" t="s">
        <v>40</v>
      </c>
      <c r="E50" t="s">
        <v>34</v>
      </c>
      <c r="F50" t="s">
        <v>38</v>
      </c>
      <c r="G50">
        <f t="shared" si="0"/>
        <v>2</v>
      </c>
      <c r="H50">
        <v>0</v>
      </c>
      <c r="I50">
        <f t="shared" si="7"/>
        <v>1</v>
      </c>
      <c r="J50">
        <f t="shared" si="8"/>
        <v>1</v>
      </c>
      <c r="K50">
        <v>0</v>
      </c>
      <c r="L50">
        <v>0</v>
      </c>
      <c r="M50">
        <f t="shared" si="9"/>
        <v>1</v>
      </c>
      <c r="N50">
        <f t="shared" si="10"/>
        <v>1</v>
      </c>
      <c r="O50">
        <f t="shared" si="11"/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10</v>
      </c>
    </row>
    <row r="51" spans="1:22" x14ac:dyDescent="0.3">
      <c r="A51" t="s">
        <v>79</v>
      </c>
      <c r="B51" t="s">
        <v>92</v>
      </c>
      <c r="C51">
        <v>58</v>
      </c>
      <c r="D51" t="s">
        <v>46</v>
      </c>
      <c r="E51" t="s">
        <v>31</v>
      </c>
      <c r="F51" t="s">
        <v>38</v>
      </c>
      <c r="G51">
        <f t="shared" si="0"/>
        <v>2</v>
      </c>
      <c r="H51">
        <v>0</v>
      </c>
      <c r="I51">
        <f t="shared" si="7"/>
        <v>1</v>
      </c>
      <c r="J51">
        <f t="shared" si="8"/>
        <v>0</v>
      </c>
      <c r="K51">
        <v>0</v>
      </c>
      <c r="L51">
        <v>0</v>
      </c>
      <c r="M51">
        <f t="shared" si="9"/>
        <v>1</v>
      </c>
      <c r="N51">
        <f t="shared" si="10"/>
        <v>1</v>
      </c>
      <c r="O51">
        <f t="shared" si="11"/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10</v>
      </c>
    </row>
    <row r="52" spans="1:22" x14ac:dyDescent="0.3">
      <c r="A52" t="s">
        <v>79</v>
      </c>
      <c r="B52" t="s">
        <v>93</v>
      </c>
      <c r="C52">
        <v>54</v>
      </c>
      <c r="D52" t="s">
        <v>46</v>
      </c>
      <c r="E52" t="s">
        <v>34</v>
      </c>
      <c r="F52" t="s">
        <v>38</v>
      </c>
      <c r="G52">
        <f t="shared" si="0"/>
        <v>2</v>
      </c>
      <c r="H52">
        <v>0</v>
      </c>
      <c r="I52">
        <f t="shared" si="7"/>
        <v>1</v>
      </c>
      <c r="J52">
        <f t="shared" si="8"/>
        <v>0</v>
      </c>
      <c r="K52">
        <v>0</v>
      </c>
      <c r="L52">
        <v>0</v>
      </c>
      <c r="M52">
        <f t="shared" si="9"/>
        <v>1</v>
      </c>
      <c r="N52">
        <f t="shared" si="10"/>
        <v>1</v>
      </c>
      <c r="O52">
        <f t="shared" si="11"/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10</v>
      </c>
    </row>
    <row r="53" spans="1:22" x14ac:dyDescent="0.3">
      <c r="A53" t="s">
        <v>79</v>
      </c>
      <c r="B53" t="s">
        <v>94</v>
      </c>
      <c r="C53">
        <v>61</v>
      </c>
      <c r="D53" t="s">
        <v>46</v>
      </c>
      <c r="E53" t="s">
        <v>34</v>
      </c>
      <c r="F53" t="s">
        <v>38</v>
      </c>
      <c r="G53">
        <f t="shared" si="0"/>
        <v>2</v>
      </c>
      <c r="H53">
        <v>0</v>
      </c>
      <c r="I53">
        <f t="shared" si="7"/>
        <v>1</v>
      </c>
      <c r="J53">
        <f t="shared" si="8"/>
        <v>0</v>
      </c>
      <c r="K53">
        <v>0</v>
      </c>
      <c r="L53">
        <v>0</v>
      </c>
      <c r="M53">
        <f t="shared" si="9"/>
        <v>1</v>
      </c>
      <c r="N53">
        <f t="shared" si="10"/>
        <v>1</v>
      </c>
      <c r="O53">
        <f t="shared" si="11"/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10</v>
      </c>
    </row>
    <row r="54" spans="1:22" x14ac:dyDescent="0.3">
      <c r="A54" t="s">
        <v>79</v>
      </c>
      <c r="B54" t="s">
        <v>95</v>
      </c>
      <c r="C54">
        <v>59</v>
      </c>
      <c r="D54" t="s">
        <v>46</v>
      </c>
      <c r="E54" t="s">
        <v>31</v>
      </c>
      <c r="F54" t="s">
        <v>38</v>
      </c>
      <c r="G54">
        <f t="shared" si="0"/>
        <v>2</v>
      </c>
      <c r="H54">
        <v>0</v>
      </c>
      <c r="I54">
        <f t="shared" si="7"/>
        <v>1</v>
      </c>
      <c r="J54">
        <f t="shared" si="8"/>
        <v>0</v>
      </c>
      <c r="K54">
        <v>0</v>
      </c>
      <c r="L54">
        <v>0</v>
      </c>
      <c r="M54">
        <f t="shared" si="9"/>
        <v>1</v>
      </c>
      <c r="N54">
        <f t="shared" si="10"/>
        <v>1</v>
      </c>
      <c r="O54">
        <f t="shared" si="11"/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10</v>
      </c>
    </row>
    <row r="55" spans="1:22" x14ac:dyDescent="0.3">
      <c r="A55" t="s">
        <v>79</v>
      </c>
      <c r="B55" t="s">
        <v>96</v>
      </c>
      <c r="C55">
        <v>54</v>
      </c>
      <c r="D55" t="s">
        <v>46</v>
      </c>
      <c r="E55" t="s">
        <v>37</v>
      </c>
      <c r="F55" t="s">
        <v>38</v>
      </c>
      <c r="G55">
        <f t="shared" si="0"/>
        <v>2</v>
      </c>
      <c r="H55">
        <v>82</v>
      </c>
      <c r="I55">
        <f t="shared" si="7"/>
        <v>1</v>
      </c>
      <c r="J55">
        <f t="shared" si="8"/>
        <v>0</v>
      </c>
      <c r="K55">
        <v>0</v>
      </c>
      <c r="L55">
        <v>0</v>
      </c>
      <c r="M55">
        <f t="shared" si="9"/>
        <v>1</v>
      </c>
      <c r="N55">
        <f t="shared" si="10"/>
        <v>0</v>
      </c>
      <c r="O55">
        <f t="shared" si="11"/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10</v>
      </c>
    </row>
    <row r="56" spans="1:22" x14ac:dyDescent="0.3">
      <c r="A56" t="s">
        <v>79</v>
      </c>
      <c r="B56" t="s">
        <v>97</v>
      </c>
      <c r="C56">
        <v>44</v>
      </c>
      <c r="D56" t="s">
        <v>46</v>
      </c>
      <c r="E56" t="s">
        <v>41</v>
      </c>
      <c r="F56" t="s">
        <v>38</v>
      </c>
      <c r="G56">
        <f t="shared" si="0"/>
        <v>2</v>
      </c>
      <c r="H56">
        <v>0</v>
      </c>
      <c r="I56">
        <f t="shared" si="7"/>
        <v>1</v>
      </c>
      <c r="J56">
        <f t="shared" si="8"/>
        <v>0</v>
      </c>
      <c r="K56">
        <v>0</v>
      </c>
      <c r="L56">
        <v>0</v>
      </c>
      <c r="M56">
        <f t="shared" si="9"/>
        <v>1</v>
      </c>
      <c r="N56">
        <f t="shared" si="10"/>
        <v>1</v>
      </c>
      <c r="O56">
        <f t="shared" si="11"/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10</v>
      </c>
    </row>
    <row r="57" spans="1:22" x14ac:dyDescent="0.3">
      <c r="A57" t="s">
        <v>79</v>
      </c>
      <c r="B57" t="s">
        <v>98</v>
      </c>
      <c r="C57">
        <v>51</v>
      </c>
      <c r="D57" t="s">
        <v>46</v>
      </c>
      <c r="E57" t="s">
        <v>37</v>
      </c>
      <c r="F57" t="s">
        <v>38</v>
      </c>
      <c r="G57">
        <f t="shared" si="0"/>
        <v>2</v>
      </c>
      <c r="H57">
        <v>82</v>
      </c>
      <c r="I57">
        <f t="shared" si="7"/>
        <v>1</v>
      </c>
      <c r="J57">
        <f t="shared" si="8"/>
        <v>0</v>
      </c>
      <c r="K57">
        <v>0</v>
      </c>
      <c r="L57">
        <v>0</v>
      </c>
      <c r="M57">
        <f t="shared" si="9"/>
        <v>1</v>
      </c>
      <c r="N57">
        <f t="shared" si="10"/>
        <v>0</v>
      </c>
      <c r="O57">
        <f t="shared" si="11"/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10</v>
      </c>
    </row>
    <row r="58" spans="1:22" x14ac:dyDescent="0.3">
      <c r="A58" t="s">
        <v>79</v>
      </c>
      <c r="B58" t="s">
        <v>99</v>
      </c>
      <c r="C58">
        <v>56</v>
      </c>
      <c r="D58" t="s">
        <v>46</v>
      </c>
      <c r="E58" t="s">
        <v>31</v>
      </c>
      <c r="F58" t="s">
        <v>38</v>
      </c>
      <c r="G58">
        <f t="shared" si="0"/>
        <v>2</v>
      </c>
      <c r="H58">
        <v>0</v>
      </c>
      <c r="I58">
        <f t="shared" si="7"/>
        <v>1</v>
      </c>
      <c r="J58">
        <f t="shared" si="8"/>
        <v>0</v>
      </c>
      <c r="K58">
        <v>0</v>
      </c>
      <c r="L58">
        <v>0</v>
      </c>
      <c r="M58">
        <f t="shared" si="9"/>
        <v>1</v>
      </c>
      <c r="N58">
        <f t="shared" si="10"/>
        <v>1</v>
      </c>
      <c r="O58">
        <f t="shared" si="11"/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10</v>
      </c>
    </row>
    <row r="59" spans="1:22" x14ac:dyDescent="0.3">
      <c r="A59" t="s">
        <v>79</v>
      </c>
      <c r="B59" t="s">
        <v>100</v>
      </c>
      <c r="C59">
        <v>42</v>
      </c>
      <c r="D59" t="s">
        <v>30</v>
      </c>
      <c r="E59" t="s">
        <v>28</v>
      </c>
      <c r="F59" t="s">
        <v>38</v>
      </c>
      <c r="G59">
        <f t="shared" si="0"/>
        <v>2</v>
      </c>
      <c r="H59">
        <v>1103</v>
      </c>
      <c r="I59">
        <f t="shared" si="7"/>
        <v>0</v>
      </c>
      <c r="J59">
        <f t="shared" si="8"/>
        <v>0</v>
      </c>
      <c r="K59">
        <v>0</v>
      </c>
      <c r="L59">
        <v>0</v>
      </c>
      <c r="M59">
        <f t="shared" si="9"/>
        <v>0</v>
      </c>
      <c r="N59">
        <f t="shared" si="10"/>
        <v>0</v>
      </c>
      <c r="O59">
        <f t="shared" si="11"/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10</v>
      </c>
    </row>
    <row r="60" spans="1:22" x14ac:dyDescent="0.3">
      <c r="A60" t="s">
        <v>79</v>
      </c>
      <c r="B60" t="s">
        <v>101</v>
      </c>
      <c r="C60">
        <v>37</v>
      </c>
      <c r="D60" t="s">
        <v>54</v>
      </c>
      <c r="E60" t="s">
        <v>25</v>
      </c>
      <c r="F60" t="s">
        <v>38</v>
      </c>
      <c r="G60">
        <f t="shared" si="0"/>
        <v>2</v>
      </c>
      <c r="H60">
        <v>1167</v>
      </c>
      <c r="I60">
        <f t="shared" si="7"/>
        <v>0</v>
      </c>
      <c r="J60">
        <f t="shared" si="8"/>
        <v>0</v>
      </c>
      <c r="K60">
        <v>0</v>
      </c>
      <c r="L60">
        <v>0</v>
      </c>
      <c r="M60">
        <f t="shared" si="9"/>
        <v>0</v>
      </c>
      <c r="N60">
        <f t="shared" si="10"/>
        <v>0</v>
      </c>
      <c r="O60">
        <f t="shared" si="11"/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10</v>
      </c>
    </row>
    <row r="61" spans="1:22" x14ac:dyDescent="0.3">
      <c r="A61" t="s">
        <v>79</v>
      </c>
      <c r="B61" t="s">
        <v>102</v>
      </c>
      <c r="C61">
        <v>35</v>
      </c>
      <c r="D61" t="s">
        <v>54</v>
      </c>
      <c r="E61" t="s">
        <v>37</v>
      </c>
      <c r="F61" t="s">
        <v>38</v>
      </c>
      <c r="G61">
        <f t="shared" si="0"/>
        <v>2</v>
      </c>
      <c r="H61">
        <v>1089</v>
      </c>
      <c r="I61">
        <f t="shared" si="7"/>
        <v>0</v>
      </c>
      <c r="J61">
        <f t="shared" si="8"/>
        <v>0</v>
      </c>
      <c r="K61">
        <v>0</v>
      </c>
      <c r="L61">
        <v>0</v>
      </c>
      <c r="M61">
        <f t="shared" si="9"/>
        <v>0</v>
      </c>
      <c r="N61">
        <f t="shared" si="10"/>
        <v>0</v>
      </c>
      <c r="O61">
        <f t="shared" si="11"/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10</v>
      </c>
    </row>
    <row r="62" spans="1:22" x14ac:dyDescent="0.3">
      <c r="A62" t="s">
        <v>79</v>
      </c>
      <c r="B62" t="s">
        <v>103</v>
      </c>
      <c r="C62">
        <v>37</v>
      </c>
      <c r="D62" t="s">
        <v>56</v>
      </c>
      <c r="E62" t="s">
        <v>25</v>
      </c>
      <c r="F62" t="s">
        <v>38</v>
      </c>
      <c r="G62">
        <f t="shared" si="0"/>
        <v>2</v>
      </c>
      <c r="H62">
        <v>999</v>
      </c>
      <c r="I62">
        <f t="shared" si="7"/>
        <v>0</v>
      </c>
      <c r="J62">
        <f t="shared" si="8"/>
        <v>0</v>
      </c>
      <c r="K62">
        <v>0</v>
      </c>
      <c r="L62">
        <v>0</v>
      </c>
      <c r="M62">
        <f t="shared" si="9"/>
        <v>0</v>
      </c>
      <c r="N62">
        <f t="shared" si="10"/>
        <v>0</v>
      </c>
      <c r="O62">
        <f t="shared" si="11"/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10</v>
      </c>
    </row>
    <row r="63" spans="1:22" x14ac:dyDescent="0.3">
      <c r="A63" t="s">
        <v>79</v>
      </c>
      <c r="B63" t="s">
        <v>104</v>
      </c>
      <c r="C63">
        <v>36</v>
      </c>
      <c r="D63" t="s">
        <v>105</v>
      </c>
      <c r="E63" t="s">
        <v>25</v>
      </c>
      <c r="F63" t="s">
        <v>38</v>
      </c>
      <c r="G63">
        <f t="shared" si="0"/>
        <v>2</v>
      </c>
      <c r="H63">
        <v>343</v>
      </c>
      <c r="I63">
        <f t="shared" si="7"/>
        <v>0</v>
      </c>
      <c r="J63">
        <f t="shared" si="8"/>
        <v>0</v>
      </c>
      <c r="K63">
        <v>0</v>
      </c>
      <c r="L63">
        <v>0</v>
      </c>
      <c r="M63">
        <f t="shared" si="9"/>
        <v>0</v>
      </c>
      <c r="N63">
        <f t="shared" si="10"/>
        <v>0</v>
      </c>
      <c r="O63">
        <f t="shared" si="11"/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10</v>
      </c>
    </row>
    <row r="64" spans="1:22" x14ac:dyDescent="0.3">
      <c r="A64" t="s">
        <v>79</v>
      </c>
      <c r="B64" t="s">
        <v>106</v>
      </c>
      <c r="C64">
        <v>23</v>
      </c>
      <c r="D64" t="s">
        <v>73</v>
      </c>
      <c r="E64" t="s">
        <v>37</v>
      </c>
      <c r="F64" t="s">
        <v>38</v>
      </c>
      <c r="G64">
        <f t="shared" si="0"/>
        <v>2</v>
      </c>
      <c r="H64">
        <v>318</v>
      </c>
      <c r="I64">
        <f t="shared" si="7"/>
        <v>0</v>
      </c>
      <c r="J64">
        <f t="shared" si="8"/>
        <v>0</v>
      </c>
      <c r="K64">
        <v>0</v>
      </c>
      <c r="L64">
        <v>0</v>
      </c>
      <c r="M64">
        <f t="shared" si="9"/>
        <v>0</v>
      </c>
      <c r="N64">
        <f t="shared" si="10"/>
        <v>0</v>
      </c>
      <c r="O64">
        <f t="shared" si="11"/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10</v>
      </c>
    </row>
    <row r="65" spans="1:22" x14ac:dyDescent="0.3">
      <c r="A65" t="s">
        <v>79</v>
      </c>
      <c r="B65" t="s">
        <v>107</v>
      </c>
      <c r="C65">
        <v>35</v>
      </c>
      <c r="D65" t="s">
        <v>73</v>
      </c>
      <c r="E65" t="s">
        <v>28</v>
      </c>
      <c r="F65" t="s">
        <v>38</v>
      </c>
      <c r="G65">
        <f t="shared" si="0"/>
        <v>2</v>
      </c>
      <c r="H65">
        <v>364</v>
      </c>
      <c r="I65">
        <f t="shared" si="7"/>
        <v>0</v>
      </c>
      <c r="J65">
        <f t="shared" si="8"/>
        <v>0</v>
      </c>
      <c r="K65">
        <v>0</v>
      </c>
      <c r="L65">
        <v>0</v>
      </c>
      <c r="M65">
        <f t="shared" si="9"/>
        <v>0</v>
      </c>
      <c r="N65">
        <f t="shared" si="10"/>
        <v>0</v>
      </c>
      <c r="O65">
        <f t="shared" si="11"/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10</v>
      </c>
    </row>
    <row r="66" spans="1:22" x14ac:dyDescent="0.3">
      <c r="A66" t="s">
        <v>79</v>
      </c>
      <c r="B66" t="s">
        <v>108</v>
      </c>
      <c r="C66">
        <v>31</v>
      </c>
      <c r="D66" t="s">
        <v>54</v>
      </c>
      <c r="E66" t="s">
        <v>41</v>
      </c>
      <c r="F66" t="s">
        <v>38</v>
      </c>
      <c r="G66">
        <f t="shared" ref="G66:G129" si="12">IF(F66="Normal",1,IF(F66="Impact",2,IF(F66="Star",3,IF(F66="Elite",4,0))))</f>
        <v>2</v>
      </c>
      <c r="H66">
        <v>254</v>
      </c>
      <c r="I66">
        <f t="shared" si="7"/>
        <v>0</v>
      </c>
      <c r="J66">
        <f t="shared" si="8"/>
        <v>0</v>
      </c>
      <c r="K66">
        <v>0</v>
      </c>
      <c r="L66">
        <v>0</v>
      </c>
      <c r="M66">
        <f t="shared" si="9"/>
        <v>0</v>
      </c>
      <c r="N66">
        <f t="shared" si="10"/>
        <v>0</v>
      </c>
      <c r="O66">
        <f t="shared" si="11"/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10</v>
      </c>
    </row>
    <row r="67" spans="1:22" x14ac:dyDescent="0.3">
      <c r="A67" t="s">
        <v>79</v>
      </c>
      <c r="B67" t="s">
        <v>109</v>
      </c>
      <c r="C67">
        <v>34</v>
      </c>
      <c r="D67" t="s">
        <v>110</v>
      </c>
      <c r="E67" t="s">
        <v>41</v>
      </c>
      <c r="F67" t="s">
        <v>38</v>
      </c>
      <c r="G67">
        <f t="shared" si="12"/>
        <v>2</v>
      </c>
      <c r="H67">
        <v>67</v>
      </c>
      <c r="I67">
        <f t="shared" si="7"/>
        <v>0</v>
      </c>
      <c r="J67">
        <f t="shared" si="8"/>
        <v>0</v>
      </c>
      <c r="K67">
        <v>0</v>
      </c>
      <c r="L67">
        <v>0</v>
      </c>
      <c r="M67">
        <f t="shared" si="9"/>
        <v>0</v>
      </c>
      <c r="N67">
        <f t="shared" si="10"/>
        <v>0</v>
      </c>
      <c r="O67">
        <f t="shared" si="11"/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10</v>
      </c>
    </row>
    <row r="68" spans="1:22" x14ac:dyDescent="0.3">
      <c r="A68" t="s">
        <v>79</v>
      </c>
      <c r="B68" t="s">
        <v>111</v>
      </c>
      <c r="C68">
        <v>24</v>
      </c>
      <c r="D68" t="s">
        <v>73</v>
      </c>
      <c r="E68" t="s">
        <v>41</v>
      </c>
      <c r="F68" t="s">
        <v>38</v>
      </c>
      <c r="G68">
        <f t="shared" si="12"/>
        <v>2</v>
      </c>
      <c r="H68">
        <v>145</v>
      </c>
      <c r="I68">
        <f t="shared" si="7"/>
        <v>0</v>
      </c>
      <c r="J68">
        <f t="shared" si="8"/>
        <v>0</v>
      </c>
      <c r="K68">
        <v>0</v>
      </c>
      <c r="L68">
        <v>0</v>
      </c>
      <c r="M68">
        <f t="shared" si="9"/>
        <v>0</v>
      </c>
      <c r="N68">
        <f t="shared" si="10"/>
        <v>0</v>
      </c>
      <c r="O68">
        <f t="shared" si="11"/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10</v>
      </c>
    </row>
    <row r="69" spans="1:22" x14ac:dyDescent="0.3">
      <c r="A69" t="s">
        <v>79</v>
      </c>
      <c r="B69" t="s">
        <v>112</v>
      </c>
      <c r="C69">
        <v>33</v>
      </c>
      <c r="D69" t="s">
        <v>73</v>
      </c>
      <c r="E69" t="s">
        <v>31</v>
      </c>
      <c r="F69" t="s">
        <v>38</v>
      </c>
      <c r="G69">
        <f t="shared" si="12"/>
        <v>2</v>
      </c>
      <c r="H69">
        <v>0</v>
      </c>
      <c r="I69">
        <f t="shared" si="7"/>
        <v>0</v>
      </c>
      <c r="J69">
        <f t="shared" si="8"/>
        <v>0</v>
      </c>
      <c r="K69">
        <v>0</v>
      </c>
      <c r="L69">
        <v>0</v>
      </c>
      <c r="M69">
        <f t="shared" si="9"/>
        <v>0</v>
      </c>
      <c r="N69">
        <f t="shared" si="10"/>
        <v>0</v>
      </c>
      <c r="O69">
        <f t="shared" si="11"/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10</v>
      </c>
    </row>
    <row r="70" spans="1:22" x14ac:dyDescent="0.3">
      <c r="A70" t="s">
        <v>79</v>
      </c>
      <c r="B70" t="s">
        <v>113</v>
      </c>
      <c r="C70">
        <v>43</v>
      </c>
      <c r="D70" t="s">
        <v>54</v>
      </c>
      <c r="E70" t="s">
        <v>31</v>
      </c>
      <c r="F70" t="s">
        <v>38</v>
      </c>
      <c r="G70">
        <f t="shared" si="12"/>
        <v>2</v>
      </c>
      <c r="H70">
        <v>0</v>
      </c>
      <c r="I70">
        <f t="shared" si="7"/>
        <v>0</v>
      </c>
      <c r="J70">
        <f t="shared" si="8"/>
        <v>0</v>
      </c>
      <c r="K70">
        <v>0</v>
      </c>
      <c r="L70">
        <v>0</v>
      </c>
      <c r="M70">
        <f t="shared" si="9"/>
        <v>0</v>
      </c>
      <c r="N70">
        <f t="shared" si="10"/>
        <v>0</v>
      </c>
      <c r="O70">
        <f t="shared" si="11"/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10</v>
      </c>
    </row>
    <row r="71" spans="1:22" x14ac:dyDescent="0.3">
      <c r="A71" t="s">
        <v>79</v>
      </c>
      <c r="B71" t="s">
        <v>114</v>
      </c>
      <c r="C71">
        <v>40</v>
      </c>
      <c r="D71" t="s">
        <v>30</v>
      </c>
      <c r="E71" t="s">
        <v>41</v>
      </c>
      <c r="F71" t="s">
        <v>38</v>
      </c>
      <c r="G71">
        <f t="shared" si="12"/>
        <v>2</v>
      </c>
      <c r="H71">
        <v>0</v>
      </c>
      <c r="I71">
        <f t="shared" si="7"/>
        <v>0</v>
      </c>
      <c r="J71">
        <f t="shared" si="8"/>
        <v>0</v>
      </c>
      <c r="K71">
        <v>0</v>
      </c>
      <c r="L71">
        <v>0</v>
      </c>
      <c r="M71">
        <f t="shared" si="9"/>
        <v>0</v>
      </c>
      <c r="N71">
        <f t="shared" si="10"/>
        <v>0</v>
      </c>
      <c r="O71">
        <f t="shared" si="11"/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10</v>
      </c>
    </row>
    <row r="72" spans="1:22" x14ac:dyDescent="0.3">
      <c r="A72" t="s">
        <v>79</v>
      </c>
      <c r="B72" t="s">
        <v>115</v>
      </c>
      <c r="C72">
        <v>39</v>
      </c>
      <c r="D72" t="s">
        <v>30</v>
      </c>
      <c r="E72" t="s">
        <v>37</v>
      </c>
      <c r="F72" t="s">
        <v>38</v>
      </c>
      <c r="G72">
        <f t="shared" si="12"/>
        <v>2</v>
      </c>
      <c r="H72">
        <v>0</v>
      </c>
      <c r="I72">
        <f t="shared" si="7"/>
        <v>0</v>
      </c>
      <c r="J72">
        <f t="shared" si="8"/>
        <v>0</v>
      </c>
      <c r="K72">
        <v>0</v>
      </c>
      <c r="L72">
        <v>0</v>
      </c>
      <c r="M72">
        <f t="shared" si="9"/>
        <v>0</v>
      </c>
      <c r="N72">
        <f t="shared" si="10"/>
        <v>0</v>
      </c>
      <c r="O72">
        <f t="shared" si="11"/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10</v>
      </c>
    </row>
    <row r="73" spans="1:22" x14ac:dyDescent="0.3">
      <c r="A73" t="s">
        <v>79</v>
      </c>
      <c r="B73" t="s">
        <v>116</v>
      </c>
      <c r="C73">
        <v>28</v>
      </c>
      <c r="D73" t="s">
        <v>73</v>
      </c>
      <c r="E73" t="s">
        <v>31</v>
      </c>
      <c r="F73" t="s">
        <v>38</v>
      </c>
      <c r="G73">
        <f t="shared" si="12"/>
        <v>2</v>
      </c>
      <c r="H73">
        <v>0</v>
      </c>
      <c r="I73">
        <f t="shared" si="7"/>
        <v>0</v>
      </c>
      <c r="J73">
        <f t="shared" si="8"/>
        <v>0</v>
      </c>
      <c r="K73">
        <v>0</v>
      </c>
      <c r="L73">
        <v>0</v>
      </c>
      <c r="M73">
        <f t="shared" si="9"/>
        <v>0</v>
      </c>
      <c r="N73">
        <f t="shared" si="10"/>
        <v>0</v>
      </c>
      <c r="O73">
        <f t="shared" si="11"/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10</v>
      </c>
    </row>
    <row r="74" spans="1:22" x14ac:dyDescent="0.3">
      <c r="A74" t="s">
        <v>79</v>
      </c>
      <c r="B74" t="s">
        <v>117</v>
      </c>
      <c r="C74">
        <v>39</v>
      </c>
      <c r="D74" t="s">
        <v>54</v>
      </c>
      <c r="E74" t="s">
        <v>34</v>
      </c>
      <c r="F74" t="s">
        <v>38</v>
      </c>
      <c r="G74">
        <f t="shared" si="12"/>
        <v>2</v>
      </c>
      <c r="H74">
        <v>0</v>
      </c>
      <c r="I74">
        <f t="shared" si="7"/>
        <v>0</v>
      </c>
      <c r="J74">
        <f t="shared" si="8"/>
        <v>0</v>
      </c>
      <c r="K74">
        <v>0</v>
      </c>
      <c r="L74">
        <v>0</v>
      </c>
      <c r="M74">
        <f t="shared" si="9"/>
        <v>0</v>
      </c>
      <c r="N74">
        <f t="shared" si="10"/>
        <v>0</v>
      </c>
      <c r="O74">
        <f t="shared" si="11"/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10</v>
      </c>
    </row>
    <row r="75" spans="1:22" x14ac:dyDescent="0.3">
      <c r="A75" t="s">
        <v>79</v>
      </c>
      <c r="B75" t="s">
        <v>118</v>
      </c>
      <c r="C75">
        <v>36</v>
      </c>
      <c r="D75" t="s">
        <v>30</v>
      </c>
      <c r="E75" t="s">
        <v>41</v>
      </c>
      <c r="F75" t="s">
        <v>38</v>
      </c>
      <c r="G75">
        <f t="shared" si="12"/>
        <v>2</v>
      </c>
      <c r="H75">
        <v>0</v>
      </c>
      <c r="I75">
        <f t="shared" si="7"/>
        <v>0</v>
      </c>
      <c r="J75">
        <f t="shared" si="8"/>
        <v>0</v>
      </c>
      <c r="K75">
        <v>0</v>
      </c>
      <c r="L75">
        <v>0</v>
      </c>
      <c r="M75">
        <f t="shared" si="9"/>
        <v>0</v>
      </c>
      <c r="N75">
        <f t="shared" si="10"/>
        <v>0</v>
      </c>
      <c r="O75">
        <f t="shared" si="11"/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10</v>
      </c>
    </row>
    <row r="76" spans="1:22" x14ac:dyDescent="0.3">
      <c r="A76" t="s">
        <v>79</v>
      </c>
      <c r="B76" t="s">
        <v>119</v>
      </c>
      <c r="C76">
        <v>38</v>
      </c>
      <c r="D76" t="s">
        <v>54</v>
      </c>
      <c r="E76" t="s">
        <v>31</v>
      </c>
      <c r="F76" t="s">
        <v>38</v>
      </c>
      <c r="G76">
        <f t="shared" si="12"/>
        <v>2</v>
      </c>
      <c r="H76">
        <v>0</v>
      </c>
      <c r="I76">
        <f t="shared" si="7"/>
        <v>0</v>
      </c>
      <c r="J76">
        <f t="shared" si="8"/>
        <v>0</v>
      </c>
      <c r="K76">
        <v>0</v>
      </c>
      <c r="L76">
        <v>0</v>
      </c>
      <c r="M76">
        <f t="shared" si="9"/>
        <v>0</v>
      </c>
      <c r="N76">
        <f t="shared" si="10"/>
        <v>0</v>
      </c>
      <c r="O76">
        <f t="shared" si="11"/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10</v>
      </c>
    </row>
    <row r="77" spans="1:22" x14ac:dyDescent="0.3">
      <c r="A77" t="s">
        <v>79</v>
      </c>
      <c r="B77" t="s">
        <v>120</v>
      </c>
      <c r="C77">
        <v>35</v>
      </c>
      <c r="D77" t="s">
        <v>56</v>
      </c>
      <c r="E77" t="s">
        <v>31</v>
      </c>
      <c r="F77" t="s">
        <v>38</v>
      </c>
      <c r="G77">
        <f t="shared" si="12"/>
        <v>2</v>
      </c>
      <c r="H77">
        <v>0</v>
      </c>
      <c r="I77">
        <f t="shared" si="7"/>
        <v>0</v>
      </c>
      <c r="J77">
        <f t="shared" si="8"/>
        <v>0</v>
      </c>
      <c r="K77">
        <v>0</v>
      </c>
      <c r="L77">
        <v>0</v>
      </c>
      <c r="M77">
        <f t="shared" si="9"/>
        <v>0</v>
      </c>
      <c r="N77">
        <f t="shared" si="10"/>
        <v>0</v>
      </c>
      <c r="O77">
        <f t="shared" si="11"/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10</v>
      </c>
    </row>
    <row r="78" spans="1:22" x14ac:dyDescent="0.3">
      <c r="A78" t="s">
        <v>79</v>
      </c>
      <c r="B78" t="s">
        <v>121</v>
      </c>
      <c r="C78">
        <v>27</v>
      </c>
      <c r="D78" t="s">
        <v>36</v>
      </c>
      <c r="E78" t="s">
        <v>37</v>
      </c>
      <c r="F78" t="s">
        <v>60</v>
      </c>
      <c r="G78">
        <f t="shared" si="12"/>
        <v>1</v>
      </c>
      <c r="H78">
        <v>0</v>
      </c>
      <c r="I78">
        <f t="shared" si="7"/>
        <v>0</v>
      </c>
      <c r="J78">
        <f t="shared" si="8"/>
        <v>0</v>
      </c>
      <c r="K78">
        <v>0</v>
      </c>
      <c r="L78">
        <v>0</v>
      </c>
      <c r="M78">
        <f t="shared" si="9"/>
        <v>1</v>
      </c>
      <c r="N78">
        <f t="shared" si="10"/>
        <v>0</v>
      </c>
      <c r="O78">
        <f t="shared" si="11"/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10</v>
      </c>
    </row>
    <row r="79" spans="1:22" x14ac:dyDescent="0.3">
      <c r="A79" t="s">
        <v>79</v>
      </c>
      <c r="B79" t="s">
        <v>122</v>
      </c>
      <c r="C79">
        <v>19</v>
      </c>
      <c r="D79" t="s">
        <v>24</v>
      </c>
      <c r="E79" t="s">
        <v>37</v>
      </c>
      <c r="F79" t="s">
        <v>60</v>
      </c>
      <c r="G79">
        <f t="shared" si="12"/>
        <v>1</v>
      </c>
      <c r="H79">
        <v>162</v>
      </c>
      <c r="I79">
        <f t="shared" si="7"/>
        <v>0</v>
      </c>
      <c r="J79">
        <f t="shared" si="8"/>
        <v>0</v>
      </c>
      <c r="K79">
        <v>0</v>
      </c>
      <c r="L79">
        <v>0</v>
      </c>
      <c r="M79">
        <f t="shared" si="9"/>
        <v>0</v>
      </c>
      <c r="N79">
        <f t="shared" si="10"/>
        <v>0</v>
      </c>
      <c r="O79">
        <f t="shared" si="11"/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10</v>
      </c>
    </row>
    <row r="80" spans="1:22" x14ac:dyDescent="0.3">
      <c r="A80" t="s">
        <v>79</v>
      </c>
      <c r="B80" t="s">
        <v>123</v>
      </c>
      <c r="C80">
        <v>16</v>
      </c>
      <c r="D80" t="s">
        <v>24</v>
      </c>
      <c r="E80" t="s">
        <v>28</v>
      </c>
      <c r="F80" t="s">
        <v>60</v>
      </c>
      <c r="G80">
        <f t="shared" si="12"/>
        <v>1</v>
      </c>
      <c r="H80">
        <v>167</v>
      </c>
      <c r="I80">
        <f t="shared" si="7"/>
        <v>0</v>
      </c>
      <c r="J80">
        <f t="shared" si="8"/>
        <v>0</v>
      </c>
      <c r="K80">
        <v>0</v>
      </c>
      <c r="L80">
        <v>0</v>
      </c>
      <c r="M80">
        <f t="shared" si="9"/>
        <v>0</v>
      </c>
      <c r="N80">
        <f t="shared" si="10"/>
        <v>0</v>
      </c>
      <c r="O80">
        <f t="shared" si="11"/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10</v>
      </c>
    </row>
    <row r="81" spans="1:22" x14ac:dyDescent="0.3">
      <c r="A81" t="s">
        <v>79</v>
      </c>
      <c r="B81" t="s">
        <v>124</v>
      </c>
      <c r="C81">
        <v>21</v>
      </c>
      <c r="D81" t="s">
        <v>40</v>
      </c>
      <c r="E81" t="s">
        <v>37</v>
      </c>
      <c r="F81" t="s">
        <v>60</v>
      </c>
      <c r="G81">
        <f t="shared" si="12"/>
        <v>1</v>
      </c>
      <c r="H81">
        <v>0</v>
      </c>
      <c r="I81">
        <f t="shared" si="7"/>
        <v>1</v>
      </c>
      <c r="J81">
        <f t="shared" si="8"/>
        <v>1</v>
      </c>
      <c r="K81">
        <v>0</v>
      </c>
      <c r="L81">
        <v>0</v>
      </c>
      <c r="M81">
        <f t="shared" si="9"/>
        <v>1</v>
      </c>
      <c r="N81">
        <f t="shared" si="10"/>
        <v>0</v>
      </c>
      <c r="O81">
        <f t="shared" si="11"/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10</v>
      </c>
    </row>
    <row r="82" spans="1:22" x14ac:dyDescent="0.3">
      <c r="A82" t="s">
        <v>79</v>
      </c>
      <c r="B82" t="s">
        <v>125</v>
      </c>
      <c r="C82">
        <v>26</v>
      </c>
      <c r="D82" t="s">
        <v>43</v>
      </c>
      <c r="E82" t="s">
        <v>37</v>
      </c>
      <c r="F82" t="s">
        <v>60</v>
      </c>
      <c r="G82">
        <f t="shared" si="12"/>
        <v>1</v>
      </c>
      <c r="H82">
        <v>0</v>
      </c>
      <c r="I82">
        <f t="shared" si="7"/>
        <v>1</v>
      </c>
      <c r="J82">
        <f t="shared" si="8"/>
        <v>1</v>
      </c>
      <c r="K82">
        <v>0</v>
      </c>
      <c r="L82">
        <v>0</v>
      </c>
      <c r="M82">
        <f t="shared" si="9"/>
        <v>1</v>
      </c>
      <c r="N82">
        <f t="shared" si="10"/>
        <v>0</v>
      </c>
      <c r="O82">
        <f t="shared" si="11"/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10</v>
      </c>
    </row>
    <row r="83" spans="1:22" x14ac:dyDescent="0.3">
      <c r="A83" t="s">
        <v>79</v>
      </c>
      <c r="B83" t="s">
        <v>126</v>
      </c>
      <c r="C83">
        <v>31</v>
      </c>
      <c r="D83" t="s">
        <v>46</v>
      </c>
      <c r="E83" t="s">
        <v>41</v>
      </c>
      <c r="F83" t="s">
        <v>60</v>
      </c>
      <c r="G83">
        <f t="shared" si="12"/>
        <v>1</v>
      </c>
      <c r="H83">
        <v>0</v>
      </c>
      <c r="I83">
        <f t="shared" si="7"/>
        <v>1</v>
      </c>
      <c r="J83">
        <f t="shared" si="8"/>
        <v>0</v>
      </c>
      <c r="K83">
        <v>0</v>
      </c>
      <c r="L83">
        <v>0</v>
      </c>
      <c r="M83">
        <f t="shared" si="9"/>
        <v>1</v>
      </c>
      <c r="N83">
        <f t="shared" si="10"/>
        <v>1</v>
      </c>
      <c r="O83">
        <f t="shared" si="11"/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10</v>
      </c>
    </row>
    <row r="84" spans="1:22" x14ac:dyDescent="0.3">
      <c r="A84" t="s">
        <v>79</v>
      </c>
      <c r="B84" t="s">
        <v>127</v>
      </c>
      <c r="C84">
        <v>36</v>
      </c>
      <c r="D84" t="s">
        <v>46</v>
      </c>
      <c r="E84" t="s">
        <v>31</v>
      </c>
      <c r="F84" t="s">
        <v>60</v>
      </c>
      <c r="G84">
        <f t="shared" si="12"/>
        <v>1</v>
      </c>
      <c r="H84">
        <v>0</v>
      </c>
      <c r="I84">
        <f t="shared" si="7"/>
        <v>1</v>
      </c>
      <c r="J84">
        <f t="shared" si="8"/>
        <v>0</v>
      </c>
      <c r="K84">
        <v>0</v>
      </c>
      <c r="L84">
        <v>0</v>
      </c>
      <c r="M84">
        <f t="shared" si="9"/>
        <v>1</v>
      </c>
      <c r="N84">
        <f t="shared" si="10"/>
        <v>1</v>
      </c>
      <c r="O84">
        <f t="shared" si="11"/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10</v>
      </c>
    </row>
    <row r="85" spans="1:22" x14ac:dyDescent="0.3">
      <c r="A85" t="s">
        <v>79</v>
      </c>
      <c r="B85" t="s">
        <v>128</v>
      </c>
      <c r="C85">
        <v>17</v>
      </c>
      <c r="D85" t="s">
        <v>73</v>
      </c>
      <c r="E85" t="s">
        <v>37</v>
      </c>
      <c r="F85" t="s">
        <v>60</v>
      </c>
      <c r="G85">
        <f t="shared" si="12"/>
        <v>1</v>
      </c>
      <c r="H85">
        <v>425</v>
      </c>
      <c r="I85">
        <f t="shared" si="7"/>
        <v>0</v>
      </c>
      <c r="J85">
        <f t="shared" si="8"/>
        <v>0</v>
      </c>
      <c r="K85">
        <v>0</v>
      </c>
      <c r="L85">
        <v>0</v>
      </c>
      <c r="M85">
        <f t="shared" si="9"/>
        <v>0</v>
      </c>
      <c r="N85">
        <f t="shared" si="10"/>
        <v>0</v>
      </c>
      <c r="O85">
        <f t="shared" si="11"/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10</v>
      </c>
    </row>
    <row r="86" spans="1:22" x14ac:dyDescent="0.3">
      <c r="A86" t="s">
        <v>79</v>
      </c>
      <c r="B86" t="s">
        <v>129</v>
      </c>
      <c r="C86">
        <v>18</v>
      </c>
      <c r="D86" t="s">
        <v>56</v>
      </c>
      <c r="E86" t="s">
        <v>37</v>
      </c>
      <c r="F86" t="s">
        <v>60</v>
      </c>
      <c r="G86">
        <f t="shared" si="12"/>
        <v>1</v>
      </c>
      <c r="H86">
        <v>32</v>
      </c>
      <c r="I86">
        <f t="shared" si="7"/>
        <v>0</v>
      </c>
      <c r="J86">
        <f t="shared" si="8"/>
        <v>0</v>
      </c>
      <c r="K86">
        <v>0</v>
      </c>
      <c r="L86">
        <v>0</v>
      </c>
      <c r="M86">
        <f t="shared" si="9"/>
        <v>0</v>
      </c>
      <c r="N86">
        <f t="shared" si="10"/>
        <v>0</v>
      </c>
      <c r="O86">
        <f t="shared" si="11"/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10</v>
      </c>
    </row>
    <row r="87" spans="1:22" x14ac:dyDescent="0.3">
      <c r="A87" t="s">
        <v>79</v>
      </c>
      <c r="B87" t="s">
        <v>130</v>
      </c>
      <c r="C87">
        <v>53</v>
      </c>
      <c r="D87" t="s">
        <v>36</v>
      </c>
      <c r="E87" t="s">
        <v>41</v>
      </c>
      <c r="F87" t="s">
        <v>65</v>
      </c>
      <c r="G87">
        <f t="shared" si="12"/>
        <v>3</v>
      </c>
      <c r="H87">
        <v>0</v>
      </c>
      <c r="I87">
        <f t="shared" si="7"/>
        <v>0</v>
      </c>
      <c r="J87">
        <f t="shared" si="8"/>
        <v>0</v>
      </c>
      <c r="K87">
        <v>0</v>
      </c>
      <c r="L87">
        <v>0</v>
      </c>
      <c r="M87">
        <f t="shared" si="9"/>
        <v>1</v>
      </c>
      <c r="N87">
        <f t="shared" si="10"/>
        <v>1</v>
      </c>
      <c r="O87">
        <f t="shared" si="11"/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10</v>
      </c>
    </row>
    <row r="88" spans="1:22" x14ac:dyDescent="0.3">
      <c r="A88" t="s">
        <v>79</v>
      </c>
      <c r="B88" t="s">
        <v>131</v>
      </c>
      <c r="C88">
        <v>67</v>
      </c>
      <c r="D88" t="s">
        <v>43</v>
      </c>
      <c r="E88" t="s">
        <v>28</v>
      </c>
      <c r="F88" t="s">
        <v>65</v>
      </c>
      <c r="G88">
        <f t="shared" si="12"/>
        <v>3</v>
      </c>
      <c r="H88">
        <v>990</v>
      </c>
      <c r="I88">
        <f t="shared" si="7"/>
        <v>1</v>
      </c>
      <c r="J88">
        <f t="shared" si="8"/>
        <v>1</v>
      </c>
      <c r="K88">
        <v>0</v>
      </c>
      <c r="L88">
        <v>0</v>
      </c>
      <c r="M88">
        <f t="shared" si="9"/>
        <v>1</v>
      </c>
      <c r="N88">
        <f t="shared" si="10"/>
        <v>1</v>
      </c>
      <c r="O88">
        <f t="shared" si="11"/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10</v>
      </c>
    </row>
    <row r="89" spans="1:22" x14ac:dyDescent="0.3">
      <c r="A89" t="s">
        <v>79</v>
      </c>
      <c r="B89" t="s">
        <v>132</v>
      </c>
      <c r="C89">
        <v>64</v>
      </c>
      <c r="D89" t="s">
        <v>40</v>
      </c>
      <c r="E89" t="s">
        <v>31</v>
      </c>
      <c r="F89" t="s">
        <v>65</v>
      </c>
      <c r="G89">
        <f t="shared" si="12"/>
        <v>3</v>
      </c>
      <c r="H89">
        <v>979</v>
      </c>
      <c r="I89">
        <f t="shared" si="7"/>
        <v>1</v>
      </c>
      <c r="J89">
        <f t="shared" si="8"/>
        <v>1</v>
      </c>
      <c r="K89">
        <v>0</v>
      </c>
      <c r="L89">
        <v>0</v>
      </c>
      <c r="M89">
        <f t="shared" si="9"/>
        <v>1</v>
      </c>
      <c r="N89">
        <f t="shared" si="10"/>
        <v>1</v>
      </c>
      <c r="O89">
        <f t="shared" si="11"/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10</v>
      </c>
    </row>
    <row r="90" spans="1:22" x14ac:dyDescent="0.3">
      <c r="A90" t="s">
        <v>79</v>
      </c>
      <c r="B90" t="s">
        <v>133</v>
      </c>
      <c r="C90">
        <v>71</v>
      </c>
      <c r="D90" t="s">
        <v>46</v>
      </c>
      <c r="E90" t="s">
        <v>34</v>
      </c>
      <c r="F90" t="s">
        <v>65</v>
      </c>
      <c r="G90">
        <f t="shared" si="12"/>
        <v>3</v>
      </c>
      <c r="H90">
        <v>0</v>
      </c>
      <c r="I90">
        <f t="shared" si="7"/>
        <v>1</v>
      </c>
      <c r="J90">
        <f t="shared" si="8"/>
        <v>0</v>
      </c>
      <c r="K90">
        <v>0</v>
      </c>
      <c r="L90">
        <v>0</v>
      </c>
      <c r="M90">
        <f t="shared" si="9"/>
        <v>1</v>
      </c>
      <c r="N90">
        <f t="shared" si="10"/>
        <v>1</v>
      </c>
      <c r="O90">
        <f t="shared" si="11"/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</v>
      </c>
    </row>
    <row r="91" spans="1:22" x14ac:dyDescent="0.3">
      <c r="A91" t="s">
        <v>79</v>
      </c>
      <c r="B91" t="s">
        <v>134</v>
      </c>
      <c r="C91">
        <v>66</v>
      </c>
      <c r="D91" t="s">
        <v>46</v>
      </c>
      <c r="E91" t="s">
        <v>41</v>
      </c>
      <c r="F91" t="s">
        <v>65</v>
      </c>
      <c r="G91">
        <f t="shared" si="12"/>
        <v>3</v>
      </c>
      <c r="H91">
        <v>0</v>
      </c>
      <c r="I91">
        <f t="shared" si="7"/>
        <v>1</v>
      </c>
      <c r="J91">
        <f t="shared" si="8"/>
        <v>0</v>
      </c>
      <c r="K91">
        <v>0</v>
      </c>
      <c r="L91">
        <v>0</v>
      </c>
      <c r="M91">
        <f t="shared" si="9"/>
        <v>1</v>
      </c>
      <c r="N91">
        <f t="shared" si="10"/>
        <v>1</v>
      </c>
      <c r="O91">
        <f t="shared" si="11"/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10</v>
      </c>
    </row>
    <row r="92" spans="1:22" x14ac:dyDescent="0.3">
      <c r="A92" t="s">
        <v>79</v>
      </c>
      <c r="B92" t="s">
        <v>135</v>
      </c>
      <c r="C92">
        <v>77</v>
      </c>
      <c r="D92" t="s">
        <v>46</v>
      </c>
      <c r="E92" t="s">
        <v>31</v>
      </c>
      <c r="F92" t="s">
        <v>65</v>
      </c>
      <c r="G92">
        <f t="shared" si="12"/>
        <v>3</v>
      </c>
      <c r="H92">
        <v>0</v>
      </c>
      <c r="I92">
        <f t="shared" si="7"/>
        <v>1</v>
      </c>
      <c r="J92">
        <f t="shared" si="8"/>
        <v>0</v>
      </c>
      <c r="K92">
        <v>0</v>
      </c>
      <c r="L92">
        <v>0</v>
      </c>
      <c r="M92">
        <f t="shared" si="9"/>
        <v>1</v>
      </c>
      <c r="N92">
        <f t="shared" si="10"/>
        <v>1</v>
      </c>
      <c r="O92">
        <f t="shared" si="11"/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10</v>
      </c>
    </row>
    <row r="93" spans="1:22" x14ac:dyDescent="0.3">
      <c r="A93" t="s">
        <v>79</v>
      </c>
      <c r="B93" t="s">
        <v>136</v>
      </c>
      <c r="C93">
        <v>41</v>
      </c>
      <c r="D93" t="s">
        <v>73</v>
      </c>
      <c r="E93" t="s">
        <v>25</v>
      </c>
      <c r="F93" t="s">
        <v>65</v>
      </c>
      <c r="G93">
        <f t="shared" si="12"/>
        <v>3</v>
      </c>
      <c r="H93">
        <v>923</v>
      </c>
      <c r="I93">
        <f t="shared" si="7"/>
        <v>0</v>
      </c>
      <c r="J93">
        <f t="shared" si="8"/>
        <v>0</v>
      </c>
      <c r="K93">
        <v>0</v>
      </c>
      <c r="L93">
        <v>0</v>
      </c>
      <c r="M93">
        <f t="shared" si="9"/>
        <v>0</v>
      </c>
      <c r="N93">
        <f t="shared" si="10"/>
        <v>0</v>
      </c>
      <c r="O93">
        <f t="shared" si="11"/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10</v>
      </c>
    </row>
    <row r="94" spans="1:22" x14ac:dyDescent="0.3">
      <c r="A94" t="s">
        <v>79</v>
      </c>
      <c r="B94" t="s">
        <v>137</v>
      </c>
      <c r="C94">
        <v>47</v>
      </c>
      <c r="D94" t="s">
        <v>138</v>
      </c>
      <c r="E94" t="s">
        <v>34</v>
      </c>
      <c r="F94" t="s">
        <v>65</v>
      </c>
      <c r="G94">
        <f t="shared" si="12"/>
        <v>3</v>
      </c>
      <c r="H94">
        <v>220</v>
      </c>
      <c r="I94">
        <f t="shared" si="7"/>
        <v>0</v>
      </c>
      <c r="J94">
        <f t="shared" si="8"/>
        <v>0</v>
      </c>
      <c r="K94">
        <v>0</v>
      </c>
      <c r="L94">
        <v>0</v>
      </c>
      <c r="M94">
        <f t="shared" si="9"/>
        <v>0</v>
      </c>
      <c r="N94">
        <f t="shared" si="10"/>
        <v>0</v>
      </c>
      <c r="O94">
        <f t="shared" si="11"/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10</v>
      </c>
    </row>
    <row r="95" spans="1:22" x14ac:dyDescent="0.3">
      <c r="A95" t="s">
        <v>79</v>
      </c>
      <c r="B95" t="s">
        <v>139</v>
      </c>
      <c r="C95">
        <v>55</v>
      </c>
      <c r="D95" t="s">
        <v>54</v>
      </c>
      <c r="E95" t="s">
        <v>28</v>
      </c>
      <c r="F95" t="s">
        <v>65</v>
      </c>
      <c r="G95">
        <f t="shared" si="12"/>
        <v>3</v>
      </c>
      <c r="H95">
        <v>243</v>
      </c>
      <c r="I95">
        <f t="shared" si="7"/>
        <v>0</v>
      </c>
      <c r="J95">
        <f t="shared" si="8"/>
        <v>0</v>
      </c>
      <c r="K95">
        <v>0</v>
      </c>
      <c r="L95">
        <v>0</v>
      </c>
      <c r="M95">
        <f t="shared" si="9"/>
        <v>0</v>
      </c>
      <c r="N95">
        <f t="shared" si="10"/>
        <v>0</v>
      </c>
      <c r="O95">
        <f t="shared" si="11"/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10</v>
      </c>
    </row>
    <row r="96" spans="1:22" x14ac:dyDescent="0.3">
      <c r="A96" t="s">
        <v>79</v>
      </c>
      <c r="B96" t="s">
        <v>140</v>
      </c>
      <c r="C96">
        <v>43</v>
      </c>
      <c r="D96" t="s">
        <v>56</v>
      </c>
      <c r="E96" t="s">
        <v>37</v>
      </c>
      <c r="F96" t="s">
        <v>65</v>
      </c>
      <c r="G96">
        <f t="shared" si="12"/>
        <v>3</v>
      </c>
      <c r="H96">
        <v>76</v>
      </c>
      <c r="I96">
        <f t="shared" si="7"/>
        <v>0</v>
      </c>
      <c r="J96">
        <f t="shared" si="8"/>
        <v>0</v>
      </c>
      <c r="K96">
        <v>0</v>
      </c>
      <c r="L96">
        <v>0</v>
      </c>
      <c r="M96">
        <f t="shared" si="9"/>
        <v>0</v>
      </c>
      <c r="N96">
        <f t="shared" si="10"/>
        <v>0</v>
      </c>
      <c r="O96">
        <f t="shared" si="11"/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10</v>
      </c>
    </row>
    <row r="97" spans="1:22" x14ac:dyDescent="0.3">
      <c r="A97" t="s">
        <v>79</v>
      </c>
      <c r="B97" t="s">
        <v>141</v>
      </c>
      <c r="C97">
        <v>52</v>
      </c>
      <c r="D97" t="s">
        <v>142</v>
      </c>
      <c r="E97" t="s">
        <v>34</v>
      </c>
      <c r="F97" t="s">
        <v>65</v>
      </c>
      <c r="G97">
        <f t="shared" si="12"/>
        <v>3</v>
      </c>
      <c r="H97">
        <v>0</v>
      </c>
      <c r="I97">
        <f t="shared" si="7"/>
        <v>0</v>
      </c>
      <c r="J97">
        <f t="shared" si="8"/>
        <v>0</v>
      </c>
      <c r="K97">
        <v>0</v>
      </c>
      <c r="L97">
        <v>0</v>
      </c>
      <c r="M97">
        <f t="shared" si="9"/>
        <v>0</v>
      </c>
      <c r="N97">
        <f t="shared" si="10"/>
        <v>0</v>
      </c>
      <c r="O97">
        <f t="shared" si="11"/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10</v>
      </c>
    </row>
    <row r="98" spans="1:22" x14ac:dyDescent="0.3">
      <c r="A98" t="s">
        <v>79</v>
      </c>
      <c r="B98" t="s">
        <v>143</v>
      </c>
      <c r="C98">
        <v>41</v>
      </c>
      <c r="D98" t="s">
        <v>56</v>
      </c>
      <c r="E98" t="s">
        <v>37</v>
      </c>
      <c r="F98" t="s">
        <v>65</v>
      </c>
      <c r="G98">
        <f t="shared" si="12"/>
        <v>3</v>
      </c>
      <c r="H98">
        <v>0</v>
      </c>
      <c r="I98">
        <f t="shared" si="7"/>
        <v>0</v>
      </c>
      <c r="J98">
        <f t="shared" si="8"/>
        <v>0</v>
      </c>
      <c r="K98">
        <v>0</v>
      </c>
      <c r="L98">
        <v>0</v>
      </c>
      <c r="M98">
        <f t="shared" si="9"/>
        <v>0</v>
      </c>
      <c r="N98">
        <f t="shared" si="10"/>
        <v>0</v>
      </c>
      <c r="O98">
        <f t="shared" si="11"/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10</v>
      </c>
    </row>
    <row r="99" spans="1:22" x14ac:dyDescent="0.3">
      <c r="A99" t="s">
        <v>79</v>
      </c>
      <c r="B99" t="s">
        <v>144</v>
      </c>
      <c r="C99">
        <v>42</v>
      </c>
      <c r="D99" t="s">
        <v>56</v>
      </c>
      <c r="E99" t="s">
        <v>31</v>
      </c>
      <c r="F99" t="s">
        <v>65</v>
      </c>
      <c r="G99">
        <f t="shared" si="12"/>
        <v>3</v>
      </c>
      <c r="H99">
        <v>0</v>
      </c>
      <c r="I99">
        <f t="shared" si="7"/>
        <v>0</v>
      </c>
      <c r="J99">
        <f t="shared" si="8"/>
        <v>0</v>
      </c>
      <c r="K99">
        <v>0</v>
      </c>
      <c r="L99">
        <v>0</v>
      </c>
      <c r="M99">
        <f t="shared" si="9"/>
        <v>0</v>
      </c>
      <c r="N99">
        <f t="shared" si="10"/>
        <v>0</v>
      </c>
      <c r="O99">
        <f t="shared" si="11"/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10</v>
      </c>
    </row>
    <row r="100" spans="1:22" x14ac:dyDescent="0.3">
      <c r="A100" t="s">
        <v>79</v>
      </c>
      <c r="B100" t="s">
        <v>145</v>
      </c>
      <c r="C100">
        <v>39</v>
      </c>
      <c r="D100" t="s">
        <v>142</v>
      </c>
      <c r="E100" t="s">
        <v>41</v>
      </c>
      <c r="F100" t="s">
        <v>65</v>
      </c>
      <c r="G100">
        <f t="shared" si="12"/>
        <v>3</v>
      </c>
      <c r="H100">
        <v>0</v>
      </c>
      <c r="I100">
        <f t="shared" si="7"/>
        <v>0</v>
      </c>
      <c r="J100">
        <f t="shared" si="8"/>
        <v>0</v>
      </c>
      <c r="K100">
        <v>0</v>
      </c>
      <c r="L100">
        <v>0</v>
      </c>
      <c r="M100">
        <f t="shared" si="9"/>
        <v>0</v>
      </c>
      <c r="N100">
        <f t="shared" si="10"/>
        <v>0</v>
      </c>
      <c r="O100">
        <f t="shared" si="11"/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10</v>
      </c>
    </row>
    <row r="101" spans="1:22" x14ac:dyDescent="0.3">
      <c r="A101" t="s">
        <v>79</v>
      </c>
      <c r="B101" t="s">
        <v>146</v>
      </c>
      <c r="C101">
        <v>48</v>
      </c>
      <c r="D101" t="s">
        <v>30</v>
      </c>
      <c r="E101" t="s">
        <v>31</v>
      </c>
      <c r="F101" t="s">
        <v>65</v>
      </c>
      <c r="G101">
        <f t="shared" si="12"/>
        <v>3</v>
      </c>
      <c r="H101">
        <v>0</v>
      </c>
      <c r="I101">
        <f t="shared" si="7"/>
        <v>0</v>
      </c>
      <c r="J101">
        <f t="shared" si="8"/>
        <v>0</v>
      </c>
      <c r="K101">
        <v>0</v>
      </c>
      <c r="L101">
        <v>0</v>
      </c>
      <c r="M101">
        <f t="shared" si="9"/>
        <v>0</v>
      </c>
      <c r="N101">
        <f t="shared" si="10"/>
        <v>0</v>
      </c>
      <c r="O101">
        <f t="shared" si="11"/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10</v>
      </c>
    </row>
    <row r="102" spans="1:22" x14ac:dyDescent="0.3">
      <c r="A102" t="s">
        <v>79</v>
      </c>
      <c r="B102" t="s">
        <v>147</v>
      </c>
      <c r="C102">
        <v>43</v>
      </c>
      <c r="D102" t="s">
        <v>56</v>
      </c>
      <c r="E102" t="s">
        <v>41</v>
      </c>
      <c r="F102" t="s">
        <v>65</v>
      </c>
      <c r="G102">
        <f t="shared" si="12"/>
        <v>3</v>
      </c>
      <c r="H102">
        <v>0</v>
      </c>
      <c r="I102">
        <f t="shared" si="7"/>
        <v>0</v>
      </c>
      <c r="J102">
        <f t="shared" si="8"/>
        <v>0</v>
      </c>
      <c r="K102">
        <v>0</v>
      </c>
      <c r="L102">
        <v>0</v>
      </c>
      <c r="M102">
        <f t="shared" si="9"/>
        <v>0</v>
      </c>
      <c r="N102">
        <f t="shared" si="10"/>
        <v>0</v>
      </c>
      <c r="O102">
        <f t="shared" si="11"/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</v>
      </c>
    </row>
    <row r="103" spans="1:22" x14ac:dyDescent="0.3">
      <c r="A103" t="s">
        <v>148</v>
      </c>
      <c r="B103" t="s">
        <v>83</v>
      </c>
      <c r="C103">
        <v>38</v>
      </c>
      <c r="D103" t="s">
        <v>24</v>
      </c>
      <c r="E103" t="s">
        <v>25</v>
      </c>
      <c r="F103" t="s">
        <v>38</v>
      </c>
      <c r="G103">
        <f t="shared" si="12"/>
        <v>2</v>
      </c>
      <c r="H103">
        <v>664</v>
      </c>
      <c r="I103">
        <f t="shared" ref="I103:I157" si="13">IF(OR(D103="QB",D103="RB",D103="WR",D103="TE",D103="OL"),1,0)</f>
        <v>1</v>
      </c>
      <c r="J103">
        <f t="shared" ref="J103:J157" si="14">IF(OR(D103="QB",D103="RB",D103="WR",D103="TE",D103="OL",D103="LB"),1,0)</f>
        <v>1</v>
      </c>
      <c r="K103">
        <f t="shared" ref="K103:K157" si="15">IF(OR(D103="QB",D103="WR",D103="TE"),1,0)</f>
        <v>0</v>
      </c>
      <c r="L103">
        <f t="shared" ref="L103:L157" si="16">IF(OR(D103="DL",D103="LB"),1,0)</f>
        <v>0</v>
      </c>
      <c r="M103">
        <v>0</v>
      </c>
      <c r="N103">
        <v>0</v>
      </c>
      <c r="O103">
        <v>0</v>
      </c>
      <c r="P103">
        <f t="shared" ref="P103:P157" si="17">IF(D103="OL",1,0)</f>
        <v>0</v>
      </c>
      <c r="Q103">
        <f t="shared" ref="Q103:Q157" si="18">IF(AND(OR(D103="WR",D103="TE",D103="QB"),OR(E103="FR",E103="SO",E103="FR (RS)",E103="SO (RS)")),1,0)</f>
        <v>0</v>
      </c>
      <c r="R103">
        <f>IF(AND(D103="QB",H103&gt;600),1,0)</f>
        <v>0</v>
      </c>
      <c r="S103">
        <v>0</v>
      </c>
      <c r="T103">
        <v>0</v>
      </c>
      <c r="U103">
        <v>0</v>
      </c>
      <c r="V103">
        <v>20</v>
      </c>
    </row>
    <row r="104" spans="1:22" x14ac:dyDescent="0.3">
      <c r="A104" t="s">
        <v>148</v>
      </c>
      <c r="B104" t="s">
        <v>149</v>
      </c>
      <c r="C104">
        <v>34</v>
      </c>
      <c r="D104" t="s">
        <v>24</v>
      </c>
      <c r="E104" t="s">
        <v>31</v>
      </c>
      <c r="F104" t="s">
        <v>38</v>
      </c>
      <c r="G104">
        <f t="shared" si="12"/>
        <v>2</v>
      </c>
      <c r="H104">
        <v>0</v>
      </c>
      <c r="I104">
        <f t="shared" si="13"/>
        <v>1</v>
      </c>
      <c r="J104">
        <f t="shared" si="14"/>
        <v>1</v>
      </c>
      <c r="K104">
        <f t="shared" si="15"/>
        <v>0</v>
      </c>
      <c r="L104">
        <f t="shared" si="16"/>
        <v>0</v>
      </c>
      <c r="M104">
        <v>0</v>
      </c>
      <c r="N104">
        <v>0</v>
      </c>
      <c r="O104">
        <v>0</v>
      </c>
      <c r="P104">
        <f t="shared" si="17"/>
        <v>0</v>
      </c>
      <c r="Q104">
        <f t="shared" si="18"/>
        <v>0</v>
      </c>
      <c r="R104">
        <f>IF(AND(D104="QB",H104&gt;600),1,0)</f>
        <v>0</v>
      </c>
      <c r="S104">
        <v>0</v>
      </c>
      <c r="T104">
        <v>0</v>
      </c>
      <c r="U104">
        <v>0</v>
      </c>
      <c r="V104">
        <v>20</v>
      </c>
    </row>
    <row r="105" spans="1:22" x14ac:dyDescent="0.3">
      <c r="A105" t="s">
        <v>148</v>
      </c>
      <c r="B105" t="s">
        <v>150</v>
      </c>
      <c r="C105">
        <v>30</v>
      </c>
      <c r="D105" t="s">
        <v>24</v>
      </c>
      <c r="E105" t="s">
        <v>31</v>
      </c>
      <c r="F105" t="s">
        <v>38</v>
      </c>
      <c r="G105">
        <f t="shared" si="12"/>
        <v>2</v>
      </c>
      <c r="H105">
        <v>0</v>
      </c>
      <c r="I105">
        <f t="shared" si="13"/>
        <v>1</v>
      </c>
      <c r="J105">
        <f t="shared" si="14"/>
        <v>1</v>
      </c>
      <c r="K105">
        <f t="shared" si="15"/>
        <v>0</v>
      </c>
      <c r="L105">
        <f t="shared" si="16"/>
        <v>0</v>
      </c>
      <c r="M105">
        <v>0</v>
      </c>
      <c r="N105">
        <v>0</v>
      </c>
      <c r="O105">
        <v>0</v>
      </c>
      <c r="P105">
        <f t="shared" si="17"/>
        <v>0</v>
      </c>
      <c r="Q105">
        <f t="shared" si="18"/>
        <v>0</v>
      </c>
      <c r="R105">
        <f t="shared" ref="R105:R157" si="19">IF(AND(D105="QB",H105&gt;600),1,0)</f>
        <v>0</v>
      </c>
      <c r="S105">
        <v>0</v>
      </c>
      <c r="T105">
        <v>0</v>
      </c>
      <c r="U105">
        <v>0</v>
      </c>
      <c r="V105">
        <v>20</v>
      </c>
    </row>
    <row r="106" spans="1:22" x14ac:dyDescent="0.3">
      <c r="A106" t="s">
        <v>148</v>
      </c>
      <c r="B106" t="s">
        <v>151</v>
      </c>
      <c r="C106">
        <v>40</v>
      </c>
      <c r="D106" t="s">
        <v>43</v>
      </c>
      <c r="E106" t="s">
        <v>25</v>
      </c>
      <c r="F106" t="s">
        <v>38</v>
      </c>
      <c r="G106">
        <f t="shared" si="12"/>
        <v>2</v>
      </c>
      <c r="H106">
        <v>734</v>
      </c>
      <c r="I106">
        <f t="shared" si="13"/>
        <v>1</v>
      </c>
      <c r="J106">
        <f t="shared" si="14"/>
        <v>1</v>
      </c>
      <c r="K106">
        <f t="shared" si="15"/>
        <v>1</v>
      </c>
      <c r="L106">
        <f t="shared" si="16"/>
        <v>0</v>
      </c>
      <c r="M106">
        <v>0</v>
      </c>
      <c r="N106">
        <v>0</v>
      </c>
      <c r="O106">
        <v>0</v>
      </c>
      <c r="P106">
        <f t="shared" si="17"/>
        <v>0</v>
      </c>
      <c r="Q106">
        <f t="shared" si="18"/>
        <v>0</v>
      </c>
      <c r="R106">
        <f t="shared" si="19"/>
        <v>0</v>
      </c>
      <c r="S106">
        <v>0</v>
      </c>
      <c r="T106">
        <v>0</v>
      </c>
      <c r="U106">
        <v>0</v>
      </c>
      <c r="V106">
        <v>20</v>
      </c>
    </row>
    <row r="107" spans="1:22" x14ac:dyDescent="0.3">
      <c r="A107" t="s">
        <v>148</v>
      </c>
      <c r="B107" t="s">
        <v>152</v>
      </c>
      <c r="C107">
        <v>33</v>
      </c>
      <c r="D107" t="s">
        <v>43</v>
      </c>
      <c r="E107" t="s">
        <v>37</v>
      </c>
      <c r="F107" t="s">
        <v>38</v>
      </c>
      <c r="G107">
        <f t="shared" si="12"/>
        <v>2</v>
      </c>
      <c r="H107">
        <v>0</v>
      </c>
      <c r="I107">
        <f t="shared" si="13"/>
        <v>1</v>
      </c>
      <c r="J107">
        <f t="shared" si="14"/>
        <v>1</v>
      </c>
      <c r="K107">
        <f t="shared" si="15"/>
        <v>1</v>
      </c>
      <c r="L107">
        <f t="shared" si="16"/>
        <v>0</v>
      </c>
      <c r="M107">
        <v>0</v>
      </c>
      <c r="N107">
        <v>0</v>
      </c>
      <c r="O107">
        <v>0</v>
      </c>
      <c r="P107">
        <f t="shared" si="17"/>
        <v>0</v>
      </c>
      <c r="Q107">
        <f t="shared" si="18"/>
        <v>0</v>
      </c>
      <c r="R107">
        <f t="shared" si="19"/>
        <v>0</v>
      </c>
      <c r="S107">
        <v>0</v>
      </c>
      <c r="T107">
        <v>0</v>
      </c>
      <c r="U107">
        <v>0</v>
      </c>
      <c r="V107">
        <v>20</v>
      </c>
    </row>
    <row r="108" spans="1:22" x14ac:dyDescent="0.3">
      <c r="A108" t="s">
        <v>148</v>
      </c>
      <c r="B108" t="s">
        <v>153</v>
      </c>
      <c r="C108">
        <v>33</v>
      </c>
      <c r="D108" t="s">
        <v>40</v>
      </c>
      <c r="E108" t="s">
        <v>28</v>
      </c>
      <c r="F108" t="s">
        <v>38</v>
      </c>
      <c r="G108">
        <f t="shared" si="12"/>
        <v>2</v>
      </c>
      <c r="H108">
        <v>78</v>
      </c>
      <c r="I108">
        <f t="shared" si="13"/>
        <v>1</v>
      </c>
      <c r="J108">
        <f t="shared" si="14"/>
        <v>1</v>
      </c>
      <c r="K108">
        <f t="shared" si="15"/>
        <v>1</v>
      </c>
      <c r="L108">
        <f t="shared" si="16"/>
        <v>0</v>
      </c>
      <c r="M108">
        <v>0</v>
      </c>
      <c r="N108">
        <v>0</v>
      </c>
      <c r="O108">
        <v>0</v>
      </c>
      <c r="P108">
        <f t="shared" si="17"/>
        <v>0</v>
      </c>
      <c r="Q108">
        <f t="shared" si="18"/>
        <v>1</v>
      </c>
      <c r="R108">
        <f t="shared" si="19"/>
        <v>0</v>
      </c>
      <c r="S108">
        <v>0</v>
      </c>
      <c r="T108">
        <v>0</v>
      </c>
      <c r="U108">
        <v>0</v>
      </c>
      <c r="V108">
        <v>20</v>
      </c>
    </row>
    <row r="109" spans="1:22" x14ac:dyDescent="0.3">
      <c r="A109" t="s">
        <v>148</v>
      </c>
      <c r="B109" t="s">
        <v>154</v>
      </c>
      <c r="C109">
        <v>42</v>
      </c>
      <c r="D109" t="s">
        <v>155</v>
      </c>
      <c r="E109" t="s">
        <v>34</v>
      </c>
      <c r="F109" t="s">
        <v>38</v>
      </c>
      <c r="G109">
        <f t="shared" si="12"/>
        <v>2</v>
      </c>
      <c r="H109">
        <v>87</v>
      </c>
      <c r="I109">
        <f t="shared" si="13"/>
        <v>0</v>
      </c>
      <c r="J109">
        <f t="shared" si="14"/>
        <v>0</v>
      </c>
      <c r="K109">
        <f t="shared" si="15"/>
        <v>0</v>
      </c>
      <c r="L109">
        <f t="shared" si="16"/>
        <v>0</v>
      </c>
      <c r="M109">
        <v>0</v>
      </c>
      <c r="N109">
        <v>0</v>
      </c>
      <c r="O109">
        <v>0</v>
      </c>
      <c r="P109">
        <f t="shared" si="17"/>
        <v>0</v>
      </c>
      <c r="Q109">
        <f t="shared" si="18"/>
        <v>0</v>
      </c>
      <c r="R109">
        <f t="shared" si="19"/>
        <v>0</v>
      </c>
      <c r="S109">
        <v>0</v>
      </c>
      <c r="T109">
        <v>0</v>
      </c>
      <c r="U109">
        <v>0</v>
      </c>
      <c r="V109">
        <v>20</v>
      </c>
    </row>
    <row r="110" spans="1:22" x14ac:dyDescent="0.3">
      <c r="A110" t="s">
        <v>148</v>
      </c>
      <c r="B110" t="s">
        <v>156</v>
      </c>
      <c r="C110">
        <v>31</v>
      </c>
      <c r="D110" t="s">
        <v>40</v>
      </c>
      <c r="E110" t="s">
        <v>37</v>
      </c>
      <c r="F110" t="s">
        <v>38</v>
      </c>
      <c r="G110">
        <f t="shared" si="12"/>
        <v>2</v>
      </c>
      <c r="H110">
        <v>0</v>
      </c>
      <c r="I110">
        <f t="shared" si="13"/>
        <v>1</v>
      </c>
      <c r="J110">
        <f t="shared" si="14"/>
        <v>1</v>
      </c>
      <c r="K110">
        <f t="shared" si="15"/>
        <v>1</v>
      </c>
      <c r="L110">
        <f t="shared" si="16"/>
        <v>0</v>
      </c>
      <c r="M110">
        <v>0</v>
      </c>
      <c r="N110">
        <v>0</v>
      </c>
      <c r="O110">
        <v>0</v>
      </c>
      <c r="P110">
        <f t="shared" si="17"/>
        <v>0</v>
      </c>
      <c r="Q110">
        <f t="shared" si="18"/>
        <v>0</v>
      </c>
      <c r="R110">
        <f t="shared" si="19"/>
        <v>0</v>
      </c>
      <c r="S110">
        <v>0</v>
      </c>
      <c r="T110">
        <v>0</v>
      </c>
      <c r="U110">
        <v>0</v>
      </c>
      <c r="V110">
        <v>20</v>
      </c>
    </row>
    <row r="111" spans="1:22" x14ac:dyDescent="0.3">
      <c r="A111" t="s">
        <v>148</v>
      </c>
      <c r="B111" t="s">
        <v>157</v>
      </c>
      <c r="C111">
        <v>37</v>
      </c>
      <c r="D111" t="s">
        <v>40</v>
      </c>
      <c r="E111" t="s">
        <v>34</v>
      </c>
      <c r="F111" t="s">
        <v>38</v>
      </c>
      <c r="G111">
        <f t="shared" si="12"/>
        <v>2</v>
      </c>
      <c r="H111">
        <v>121</v>
      </c>
      <c r="I111">
        <f t="shared" si="13"/>
        <v>1</v>
      </c>
      <c r="J111">
        <f t="shared" si="14"/>
        <v>1</v>
      </c>
      <c r="K111">
        <f t="shared" si="15"/>
        <v>1</v>
      </c>
      <c r="L111">
        <f t="shared" si="16"/>
        <v>0</v>
      </c>
      <c r="M111">
        <v>0</v>
      </c>
      <c r="N111">
        <v>0</v>
      </c>
      <c r="O111">
        <v>0</v>
      </c>
      <c r="P111">
        <f t="shared" si="17"/>
        <v>0</v>
      </c>
      <c r="Q111">
        <f t="shared" si="18"/>
        <v>1</v>
      </c>
      <c r="R111">
        <f t="shared" si="19"/>
        <v>0</v>
      </c>
      <c r="S111">
        <v>0</v>
      </c>
      <c r="T111">
        <v>0</v>
      </c>
      <c r="U111">
        <v>0</v>
      </c>
      <c r="V111">
        <v>20</v>
      </c>
    </row>
    <row r="112" spans="1:22" x14ac:dyDescent="0.3">
      <c r="A112" t="s">
        <v>148</v>
      </c>
      <c r="B112" t="s">
        <v>158</v>
      </c>
      <c r="C112">
        <v>33</v>
      </c>
      <c r="D112" t="s">
        <v>43</v>
      </c>
      <c r="E112" t="s">
        <v>25</v>
      </c>
      <c r="F112" t="s">
        <v>38</v>
      </c>
      <c r="G112">
        <f t="shared" si="12"/>
        <v>2</v>
      </c>
      <c r="H112">
        <v>131</v>
      </c>
      <c r="I112">
        <f t="shared" si="13"/>
        <v>1</v>
      </c>
      <c r="J112">
        <f t="shared" si="14"/>
        <v>1</v>
      </c>
      <c r="K112">
        <f t="shared" si="15"/>
        <v>1</v>
      </c>
      <c r="L112">
        <f t="shared" si="16"/>
        <v>0</v>
      </c>
      <c r="M112">
        <v>0</v>
      </c>
      <c r="N112">
        <v>0</v>
      </c>
      <c r="O112">
        <v>0</v>
      </c>
      <c r="P112">
        <f t="shared" si="17"/>
        <v>0</v>
      </c>
      <c r="Q112">
        <f t="shared" si="18"/>
        <v>0</v>
      </c>
      <c r="R112">
        <f t="shared" si="19"/>
        <v>0</v>
      </c>
      <c r="S112">
        <v>0</v>
      </c>
      <c r="T112">
        <v>0</v>
      </c>
      <c r="U112">
        <v>0</v>
      </c>
      <c r="V112">
        <v>20</v>
      </c>
    </row>
    <row r="113" spans="1:22" x14ac:dyDescent="0.3">
      <c r="A113" t="s">
        <v>148</v>
      </c>
      <c r="B113" t="s">
        <v>159</v>
      </c>
      <c r="C113">
        <v>42</v>
      </c>
      <c r="D113" t="s">
        <v>43</v>
      </c>
      <c r="E113" t="s">
        <v>28</v>
      </c>
      <c r="F113" t="s">
        <v>38</v>
      </c>
      <c r="G113">
        <f t="shared" si="12"/>
        <v>2</v>
      </c>
      <c r="H113">
        <v>114</v>
      </c>
      <c r="I113">
        <f t="shared" si="13"/>
        <v>1</v>
      </c>
      <c r="J113">
        <f t="shared" si="14"/>
        <v>1</v>
      </c>
      <c r="K113">
        <f t="shared" si="15"/>
        <v>1</v>
      </c>
      <c r="L113">
        <f t="shared" si="16"/>
        <v>0</v>
      </c>
      <c r="M113">
        <v>0</v>
      </c>
      <c r="N113">
        <v>0</v>
      </c>
      <c r="O113">
        <v>0</v>
      </c>
      <c r="P113">
        <f t="shared" si="17"/>
        <v>0</v>
      </c>
      <c r="Q113">
        <f t="shared" si="18"/>
        <v>1</v>
      </c>
      <c r="R113">
        <f t="shared" si="19"/>
        <v>0</v>
      </c>
      <c r="S113">
        <v>0</v>
      </c>
      <c r="T113">
        <v>0</v>
      </c>
      <c r="U113">
        <v>0</v>
      </c>
      <c r="V113">
        <v>20</v>
      </c>
    </row>
    <row r="114" spans="1:22" x14ac:dyDescent="0.3">
      <c r="A114" t="s">
        <v>148</v>
      </c>
      <c r="B114" t="s">
        <v>160</v>
      </c>
      <c r="C114">
        <v>37</v>
      </c>
      <c r="D114" t="s">
        <v>46</v>
      </c>
      <c r="E114" t="s">
        <v>34</v>
      </c>
      <c r="F114" t="s">
        <v>38</v>
      </c>
      <c r="G114">
        <f t="shared" si="12"/>
        <v>2</v>
      </c>
      <c r="H114">
        <v>0</v>
      </c>
      <c r="I114">
        <f t="shared" si="13"/>
        <v>1</v>
      </c>
      <c r="J114">
        <f t="shared" si="14"/>
        <v>1</v>
      </c>
      <c r="K114">
        <f t="shared" si="15"/>
        <v>0</v>
      </c>
      <c r="L114">
        <f t="shared" si="16"/>
        <v>0</v>
      </c>
      <c r="M114">
        <v>0</v>
      </c>
      <c r="N114">
        <v>0</v>
      </c>
      <c r="O114">
        <v>0</v>
      </c>
      <c r="P114">
        <f t="shared" si="17"/>
        <v>1</v>
      </c>
      <c r="Q114">
        <f t="shared" si="18"/>
        <v>0</v>
      </c>
      <c r="R114">
        <f t="shared" si="19"/>
        <v>0</v>
      </c>
      <c r="S114">
        <v>0</v>
      </c>
      <c r="T114">
        <v>0</v>
      </c>
      <c r="U114">
        <v>0</v>
      </c>
      <c r="V114">
        <v>20</v>
      </c>
    </row>
    <row r="115" spans="1:22" x14ac:dyDescent="0.3">
      <c r="A115" t="s">
        <v>148</v>
      </c>
      <c r="B115" t="s">
        <v>161</v>
      </c>
      <c r="C115">
        <v>40</v>
      </c>
      <c r="D115" t="s">
        <v>46</v>
      </c>
      <c r="E115" t="s">
        <v>31</v>
      </c>
      <c r="F115" t="s">
        <v>38</v>
      </c>
      <c r="G115">
        <f t="shared" si="12"/>
        <v>2</v>
      </c>
      <c r="H115">
        <v>1</v>
      </c>
      <c r="I115">
        <f t="shared" si="13"/>
        <v>1</v>
      </c>
      <c r="J115">
        <f t="shared" si="14"/>
        <v>1</v>
      </c>
      <c r="K115">
        <f t="shared" si="15"/>
        <v>0</v>
      </c>
      <c r="L115">
        <f t="shared" si="16"/>
        <v>0</v>
      </c>
      <c r="M115">
        <v>0</v>
      </c>
      <c r="N115">
        <v>0</v>
      </c>
      <c r="O115">
        <v>0</v>
      </c>
      <c r="P115">
        <f t="shared" si="17"/>
        <v>1</v>
      </c>
      <c r="Q115">
        <f t="shared" si="18"/>
        <v>0</v>
      </c>
      <c r="R115">
        <f t="shared" si="19"/>
        <v>0</v>
      </c>
      <c r="S115">
        <v>0</v>
      </c>
      <c r="T115">
        <v>0</v>
      </c>
      <c r="U115">
        <v>0</v>
      </c>
      <c r="V115">
        <v>20</v>
      </c>
    </row>
    <row r="116" spans="1:22" x14ac:dyDescent="0.3">
      <c r="A116" t="s">
        <v>148</v>
      </c>
      <c r="B116" t="s">
        <v>162</v>
      </c>
      <c r="C116">
        <v>46</v>
      </c>
      <c r="D116" t="s">
        <v>46</v>
      </c>
      <c r="E116" t="s">
        <v>28</v>
      </c>
      <c r="F116" t="s">
        <v>38</v>
      </c>
      <c r="G116">
        <f t="shared" si="12"/>
        <v>2</v>
      </c>
      <c r="H116">
        <v>75</v>
      </c>
      <c r="I116">
        <f t="shared" si="13"/>
        <v>1</v>
      </c>
      <c r="J116">
        <f t="shared" si="14"/>
        <v>1</v>
      </c>
      <c r="K116">
        <f t="shared" si="15"/>
        <v>0</v>
      </c>
      <c r="L116">
        <f t="shared" si="16"/>
        <v>0</v>
      </c>
      <c r="M116">
        <v>0</v>
      </c>
      <c r="N116">
        <v>0</v>
      </c>
      <c r="O116">
        <v>0</v>
      </c>
      <c r="P116">
        <f t="shared" si="17"/>
        <v>1</v>
      </c>
      <c r="Q116">
        <f t="shared" si="18"/>
        <v>0</v>
      </c>
      <c r="R116">
        <f t="shared" si="19"/>
        <v>0</v>
      </c>
      <c r="S116">
        <v>0</v>
      </c>
      <c r="T116">
        <v>0</v>
      </c>
      <c r="U116">
        <v>0</v>
      </c>
      <c r="V116">
        <v>20</v>
      </c>
    </row>
    <row r="117" spans="1:22" x14ac:dyDescent="0.3">
      <c r="A117" t="s">
        <v>148</v>
      </c>
      <c r="B117" t="s">
        <v>163</v>
      </c>
      <c r="C117">
        <v>46</v>
      </c>
      <c r="D117" t="s">
        <v>46</v>
      </c>
      <c r="E117" t="s">
        <v>34</v>
      </c>
      <c r="F117" t="s">
        <v>38</v>
      </c>
      <c r="G117">
        <f t="shared" si="12"/>
        <v>2</v>
      </c>
      <c r="H117">
        <v>0</v>
      </c>
      <c r="I117">
        <f t="shared" si="13"/>
        <v>1</v>
      </c>
      <c r="J117">
        <f t="shared" si="14"/>
        <v>1</v>
      </c>
      <c r="K117">
        <f t="shared" si="15"/>
        <v>0</v>
      </c>
      <c r="L117">
        <f t="shared" si="16"/>
        <v>0</v>
      </c>
      <c r="M117">
        <v>0</v>
      </c>
      <c r="N117">
        <v>0</v>
      </c>
      <c r="O117">
        <v>0</v>
      </c>
      <c r="P117">
        <f t="shared" si="17"/>
        <v>1</v>
      </c>
      <c r="Q117">
        <f t="shared" si="18"/>
        <v>0</v>
      </c>
      <c r="R117">
        <f t="shared" si="19"/>
        <v>0</v>
      </c>
      <c r="S117">
        <v>0</v>
      </c>
      <c r="T117">
        <v>0</v>
      </c>
      <c r="U117">
        <v>0</v>
      </c>
      <c r="V117">
        <v>20</v>
      </c>
    </row>
    <row r="118" spans="1:22" x14ac:dyDescent="0.3">
      <c r="A118" t="s">
        <v>148</v>
      </c>
      <c r="B118" t="s">
        <v>164</v>
      </c>
      <c r="C118">
        <v>45</v>
      </c>
      <c r="D118" t="s">
        <v>46</v>
      </c>
      <c r="E118" t="s">
        <v>31</v>
      </c>
      <c r="F118" t="s">
        <v>38</v>
      </c>
      <c r="G118">
        <f t="shared" si="12"/>
        <v>2</v>
      </c>
      <c r="H118">
        <v>0</v>
      </c>
      <c r="I118">
        <f t="shared" si="13"/>
        <v>1</v>
      </c>
      <c r="J118">
        <f t="shared" si="14"/>
        <v>1</v>
      </c>
      <c r="K118">
        <f t="shared" si="15"/>
        <v>0</v>
      </c>
      <c r="L118">
        <f t="shared" si="16"/>
        <v>0</v>
      </c>
      <c r="M118">
        <v>0</v>
      </c>
      <c r="N118">
        <v>0</v>
      </c>
      <c r="O118">
        <v>0</v>
      </c>
      <c r="P118">
        <f t="shared" si="17"/>
        <v>1</v>
      </c>
      <c r="Q118">
        <f t="shared" si="18"/>
        <v>0</v>
      </c>
      <c r="R118">
        <f t="shared" si="19"/>
        <v>0</v>
      </c>
      <c r="S118">
        <v>0</v>
      </c>
      <c r="T118">
        <v>0</v>
      </c>
      <c r="U118">
        <v>0</v>
      </c>
      <c r="V118">
        <v>20</v>
      </c>
    </row>
    <row r="119" spans="1:22" x14ac:dyDescent="0.3">
      <c r="A119" t="s">
        <v>148</v>
      </c>
      <c r="B119" t="s">
        <v>165</v>
      </c>
      <c r="C119">
        <v>46</v>
      </c>
      <c r="D119" t="s">
        <v>46</v>
      </c>
      <c r="E119" t="s">
        <v>37</v>
      </c>
      <c r="F119" t="s">
        <v>38</v>
      </c>
      <c r="G119">
        <f t="shared" si="12"/>
        <v>2</v>
      </c>
      <c r="H119">
        <v>989</v>
      </c>
      <c r="I119">
        <f t="shared" si="13"/>
        <v>1</v>
      </c>
      <c r="J119">
        <f t="shared" si="14"/>
        <v>1</v>
      </c>
      <c r="K119">
        <f t="shared" si="15"/>
        <v>0</v>
      </c>
      <c r="L119">
        <f t="shared" si="16"/>
        <v>0</v>
      </c>
      <c r="M119">
        <v>0</v>
      </c>
      <c r="N119">
        <v>0</v>
      </c>
      <c r="O119">
        <v>0</v>
      </c>
      <c r="P119">
        <f t="shared" si="17"/>
        <v>1</v>
      </c>
      <c r="Q119">
        <f t="shared" si="18"/>
        <v>0</v>
      </c>
      <c r="R119">
        <f t="shared" si="19"/>
        <v>0</v>
      </c>
      <c r="S119">
        <v>0</v>
      </c>
      <c r="T119">
        <v>0</v>
      </c>
      <c r="U119">
        <v>0</v>
      </c>
      <c r="V119">
        <v>20</v>
      </c>
    </row>
    <row r="120" spans="1:22" x14ac:dyDescent="0.3">
      <c r="A120" t="s">
        <v>148</v>
      </c>
      <c r="B120" t="s">
        <v>166</v>
      </c>
      <c r="C120">
        <v>47</v>
      </c>
      <c r="D120" t="s">
        <v>46</v>
      </c>
      <c r="E120" t="s">
        <v>37</v>
      </c>
      <c r="F120" t="s">
        <v>38</v>
      </c>
      <c r="G120">
        <f t="shared" si="12"/>
        <v>2</v>
      </c>
      <c r="H120">
        <v>989</v>
      </c>
      <c r="I120">
        <f t="shared" si="13"/>
        <v>1</v>
      </c>
      <c r="J120">
        <f t="shared" si="14"/>
        <v>1</v>
      </c>
      <c r="K120">
        <f t="shared" si="15"/>
        <v>0</v>
      </c>
      <c r="L120">
        <f t="shared" si="16"/>
        <v>0</v>
      </c>
      <c r="M120">
        <v>0</v>
      </c>
      <c r="N120">
        <v>0</v>
      </c>
      <c r="O120">
        <v>0</v>
      </c>
      <c r="P120">
        <f t="shared" si="17"/>
        <v>1</v>
      </c>
      <c r="Q120">
        <f t="shared" si="18"/>
        <v>0</v>
      </c>
      <c r="R120">
        <f t="shared" si="19"/>
        <v>0</v>
      </c>
      <c r="S120">
        <v>0</v>
      </c>
      <c r="T120">
        <v>0</v>
      </c>
      <c r="U120">
        <v>0</v>
      </c>
      <c r="V120">
        <v>20</v>
      </c>
    </row>
    <row r="121" spans="1:22" x14ac:dyDescent="0.3">
      <c r="A121" t="s">
        <v>148</v>
      </c>
      <c r="B121" t="s">
        <v>167</v>
      </c>
      <c r="C121">
        <v>32</v>
      </c>
      <c r="D121" t="s">
        <v>54</v>
      </c>
      <c r="E121" t="s">
        <v>25</v>
      </c>
      <c r="F121" t="s">
        <v>38</v>
      </c>
      <c r="G121">
        <f t="shared" si="12"/>
        <v>2</v>
      </c>
      <c r="H121">
        <v>758</v>
      </c>
      <c r="I121">
        <f t="shared" si="13"/>
        <v>0</v>
      </c>
      <c r="J121">
        <f t="shared" si="14"/>
        <v>0</v>
      </c>
      <c r="K121">
        <f t="shared" si="15"/>
        <v>0</v>
      </c>
      <c r="L121">
        <f t="shared" si="16"/>
        <v>0</v>
      </c>
      <c r="M121">
        <v>0</v>
      </c>
      <c r="N121">
        <v>0</v>
      </c>
      <c r="O121">
        <v>0</v>
      </c>
      <c r="P121">
        <f t="shared" si="17"/>
        <v>0</v>
      </c>
      <c r="Q121">
        <f t="shared" si="18"/>
        <v>0</v>
      </c>
      <c r="R121">
        <f t="shared" si="19"/>
        <v>0</v>
      </c>
      <c r="S121">
        <v>0</v>
      </c>
      <c r="T121">
        <v>0</v>
      </c>
      <c r="U121">
        <v>0</v>
      </c>
      <c r="V121">
        <v>20</v>
      </c>
    </row>
    <row r="122" spans="1:22" x14ac:dyDescent="0.3">
      <c r="A122" t="s">
        <v>148</v>
      </c>
      <c r="B122" t="s">
        <v>168</v>
      </c>
      <c r="C122">
        <v>35</v>
      </c>
      <c r="D122" t="s">
        <v>73</v>
      </c>
      <c r="E122" t="s">
        <v>34</v>
      </c>
      <c r="F122" t="s">
        <v>38</v>
      </c>
      <c r="G122">
        <f t="shared" si="12"/>
        <v>2</v>
      </c>
      <c r="H122">
        <v>281</v>
      </c>
      <c r="I122">
        <f t="shared" si="13"/>
        <v>0</v>
      </c>
      <c r="J122">
        <f t="shared" si="14"/>
        <v>1</v>
      </c>
      <c r="K122">
        <f t="shared" si="15"/>
        <v>0</v>
      </c>
      <c r="L122">
        <f t="shared" si="16"/>
        <v>1</v>
      </c>
      <c r="M122">
        <v>0</v>
      </c>
      <c r="N122">
        <v>0</v>
      </c>
      <c r="O122">
        <v>0</v>
      </c>
      <c r="P122">
        <f t="shared" si="17"/>
        <v>0</v>
      </c>
      <c r="Q122">
        <f t="shared" si="18"/>
        <v>0</v>
      </c>
      <c r="R122">
        <f t="shared" si="19"/>
        <v>0</v>
      </c>
      <c r="S122">
        <v>0</v>
      </c>
      <c r="T122">
        <v>0</v>
      </c>
      <c r="U122">
        <v>0</v>
      </c>
      <c r="V122">
        <v>20</v>
      </c>
    </row>
    <row r="123" spans="1:22" x14ac:dyDescent="0.3">
      <c r="A123" t="s">
        <v>148</v>
      </c>
      <c r="B123" t="s">
        <v>169</v>
      </c>
      <c r="C123">
        <v>28</v>
      </c>
      <c r="D123" t="s">
        <v>56</v>
      </c>
      <c r="E123" t="s">
        <v>25</v>
      </c>
      <c r="F123" t="s">
        <v>38</v>
      </c>
      <c r="G123">
        <f t="shared" si="12"/>
        <v>2</v>
      </c>
      <c r="H123">
        <v>141</v>
      </c>
      <c r="I123">
        <f t="shared" si="13"/>
        <v>0</v>
      </c>
      <c r="J123">
        <f t="shared" si="14"/>
        <v>0</v>
      </c>
      <c r="K123">
        <f t="shared" si="15"/>
        <v>0</v>
      </c>
      <c r="L123">
        <f t="shared" si="16"/>
        <v>1</v>
      </c>
      <c r="M123">
        <v>0</v>
      </c>
      <c r="N123">
        <v>0</v>
      </c>
      <c r="O123">
        <v>0</v>
      </c>
      <c r="P123">
        <f t="shared" si="17"/>
        <v>0</v>
      </c>
      <c r="Q123">
        <f t="shared" si="18"/>
        <v>0</v>
      </c>
      <c r="R123">
        <f t="shared" si="19"/>
        <v>0</v>
      </c>
      <c r="S123">
        <v>0</v>
      </c>
      <c r="T123">
        <v>0</v>
      </c>
      <c r="U123">
        <v>0</v>
      </c>
      <c r="V123">
        <v>20</v>
      </c>
    </row>
    <row r="124" spans="1:22" x14ac:dyDescent="0.3">
      <c r="A124" t="s">
        <v>148</v>
      </c>
      <c r="B124" t="s">
        <v>170</v>
      </c>
      <c r="C124">
        <v>35</v>
      </c>
      <c r="D124" t="s">
        <v>30</v>
      </c>
      <c r="E124" t="s">
        <v>34</v>
      </c>
      <c r="F124" t="s">
        <v>38</v>
      </c>
      <c r="G124">
        <f t="shared" si="12"/>
        <v>2</v>
      </c>
      <c r="H124">
        <v>281</v>
      </c>
      <c r="I124">
        <f t="shared" si="13"/>
        <v>0</v>
      </c>
      <c r="J124">
        <f t="shared" si="14"/>
        <v>0</v>
      </c>
      <c r="K124">
        <f t="shared" si="15"/>
        <v>0</v>
      </c>
      <c r="L124">
        <f t="shared" si="16"/>
        <v>0</v>
      </c>
      <c r="M124">
        <v>0</v>
      </c>
      <c r="N124">
        <v>0</v>
      </c>
      <c r="O124">
        <v>0</v>
      </c>
      <c r="P124">
        <f t="shared" si="17"/>
        <v>0</v>
      </c>
      <c r="Q124">
        <f t="shared" si="18"/>
        <v>0</v>
      </c>
      <c r="R124">
        <f t="shared" si="19"/>
        <v>0</v>
      </c>
      <c r="S124">
        <v>0</v>
      </c>
      <c r="T124">
        <v>0</v>
      </c>
      <c r="U124">
        <v>0</v>
      </c>
      <c r="V124">
        <v>20</v>
      </c>
    </row>
    <row r="125" spans="1:22" x14ac:dyDescent="0.3">
      <c r="A125" t="s">
        <v>148</v>
      </c>
      <c r="B125" t="s">
        <v>171</v>
      </c>
      <c r="C125">
        <v>28</v>
      </c>
      <c r="D125" t="s">
        <v>54</v>
      </c>
      <c r="E125" t="s">
        <v>37</v>
      </c>
      <c r="F125" t="s">
        <v>38</v>
      </c>
      <c r="G125">
        <f t="shared" si="12"/>
        <v>2</v>
      </c>
      <c r="H125">
        <v>47</v>
      </c>
      <c r="I125">
        <f t="shared" si="13"/>
        <v>0</v>
      </c>
      <c r="J125">
        <f t="shared" si="14"/>
        <v>0</v>
      </c>
      <c r="K125">
        <f t="shared" si="15"/>
        <v>0</v>
      </c>
      <c r="L125">
        <f t="shared" si="16"/>
        <v>0</v>
      </c>
      <c r="M125">
        <v>0</v>
      </c>
      <c r="N125">
        <v>0</v>
      </c>
      <c r="O125">
        <v>0</v>
      </c>
      <c r="P125">
        <f t="shared" si="17"/>
        <v>0</v>
      </c>
      <c r="Q125">
        <f t="shared" si="18"/>
        <v>0</v>
      </c>
      <c r="R125">
        <f t="shared" si="19"/>
        <v>0</v>
      </c>
      <c r="S125">
        <v>0</v>
      </c>
      <c r="T125">
        <v>0</v>
      </c>
      <c r="U125">
        <v>0</v>
      </c>
      <c r="V125">
        <v>20</v>
      </c>
    </row>
    <row r="126" spans="1:22" x14ac:dyDescent="0.3">
      <c r="A126" t="s">
        <v>148</v>
      </c>
      <c r="B126" t="s">
        <v>172</v>
      </c>
      <c r="C126">
        <v>25</v>
      </c>
      <c r="D126" t="s">
        <v>73</v>
      </c>
      <c r="E126" t="s">
        <v>28</v>
      </c>
      <c r="F126" t="s">
        <v>38</v>
      </c>
      <c r="G126">
        <f t="shared" si="12"/>
        <v>2</v>
      </c>
      <c r="H126">
        <v>115</v>
      </c>
      <c r="I126">
        <f t="shared" si="13"/>
        <v>0</v>
      </c>
      <c r="J126">
        <f t="shared" si="14"/>
        <v>1</v>
      </c>
      <c r="K126">
        <f t="shared" si="15"/>
        <v>0</v>
      </c>
      <c r="L126">
        <f t="shared" si="16"/>
        <v>1</v>
      </c>
      <c r="M126">
        <v>0</v>
      </c>
      <c r="N126">
        <v>0</v>
      </c>
      <c r="O126">
        <v>0</v>
      </c>
      <c r="P126">
        <f t="shared" si="17"/>
        <v>0</v>
      </c>
      <c r="Q126">
        <f t="shared" si="18"/>
        <v>0</v>
      </c>
      <c r="R126">
        <f t="shared" si="19"/>
        <v>0</v>
      </c>
      <c r="S126">
        <v>0</v>
      </c>
      <c r="T126">
        <v>0</v>
      </c>
      <c r="U126">
        <v>0</v>
      </c>
      <c r="V126">
        <v>20</v>
      </c>
    </row>
    <row r="127" spans="1:22" x14ac:dyDescent="0.3">
      <c r="A127" t="s">
        <v>148</v>
      </c>
      <c r="B127" t="s">
        <v>173</v>
      </c>
      <c r="C127">
        <v>27</v>
      </c>
      <c r="D127" t="s">
        <v>56</v>
      </c>
      <c r="E127" t="s">
        <v>25</v>
      </c>
      <c r="F127" t="s">
        <v>38</v>
      </c>
      <c r="G127">
        <f t="shared" si="12"/>
        <v>2</v>
      </c>
      <c r="H127">
        <v>64</v>
      </c>
      <c r="I127">
        <f t="shared" si="13"/>
        <v>0</v>
      </c>
      <c r="J127">
        <f t="shared" si="14"/>
        <v>0</v>
      </c>
      <c r="K127">
        <f t="shared" si="15"/>
        <v>0</v>
      </c>
      <c r="L127">
        <f t="shared" si="16"/>
        <v>1</v>
      </c>
      <c r="M127">
        <v>0</v>
      </c>
      <c r="N127">
        <v>0</v>
      </c>
      <c r="O127">
        <v>0</v>
      </c>
      <c r="P127">
        <f t="shared" si="17"/>
        <v>0</v>
      </c>
      <c r="Q127">
        <f t="shared" si="18"/>
        <v>0</v>
      </c>
      <c r="R127">
        <f t="shared" si="19"/>
        <v>0</v>
      </c>
      <c r="S127">
        <v>0</v>
      </c>
      <c r="T127">
        <v>0</v>
      </c>
      <c r="U127">
        <v>0</v>
      </c>
      <c r="V127">
        <v>20</v>
      </c>
    </row>
    <row r="128" spans="1:22" x14ac:dyDescent="0.3">
      <c r="A128" t="s">
        <v>148</v>
      </c>
      <c r="B128" t="s">
        <v>174</v>
      </c>
      <c r="C128">
        <v>33</v>
      </c>
      <c r="D128" t="s">
        <v>30</v>
      </c>
      <c r="E128" t="s">
        <v>31</v>
      </c>
      <c r="F128" t="s">
        <v>38</v>
      </c>
      <c r="G128">
        <f t="shared" si="12"/>
        <v>2</v>
      </c>
      <c r="H128">
        <v>0</v>
      </c>
      <c r="I128">
        <f t="shared" si="13"/>
        <v>0</v>
      </c>
      <c r="J128">
        <f t="shared" si="14"/>
        <v>0</v>
      </c>
      <c r="K128">
        <f t="shared" si="15"/>
        <v>0</v>
      </c>
      <c r="L128">
        <f t="shared" si="16"/>
        <v>0</v>
      </c>
      <c r="M128">
        <v>0</v>
      </c>
      <c r="N128">
        <v>0</v>
      </c>
      <c r="O128">
        <v>0</v>
      </c>
      <c r="P128">
        <f t="shared" si="17"/>
        <v>0</v>
      </c>
      <c r="Q128">
        <f t="shared" si="18"/>
        <v>0</v>
      </c>
      <c r="R128">
        <f t="shared" si="19"/>
        <v>0</v>
      </c>
      <c r="S128">
        <v>0</v>
      </c>
      <c r="T128">
        <v>0</v>
      </c>
      <c r="U128">
        <v>0</v>
      </c>
      <c r="V128">
        <v>20</v>
      </c>
    </row>
    <row r="129" spans="1:22" x14ac:dyDescent="0.3">
      <c r="A129" t="s">
        <v>148</v>
      </c>
      <c r="B129" t="s">
        <v>175</v>
      </c>
      <c r="C129">
        <v>29</v>
      </c>
      <c r="D129" t="s">
        <v>56</v>
      </c>
      <c r="E129" t="s">
        <v>31</v>
      </c>
      <c r="F129" t="s">
        <v>38</v>
      </c>
      <c r="G129">
        <f t="shared" si="12"/>
        <v>2</v>
      </c>
      <c r="H129">
        <v>0</v>
      </c>
      <c r="I129">
        <f t="shared" si="13"/>
        <v>0</v>
      </c>
      <c r="J129">
        <f t="shared" si="14"/>
        <v>0</v>
      </c>
      <c r="K129">
        <f t="shared" si="15"/>
        <v>0</v>
      </c>
      <c r="L129">
        <f t="shared" si="16"/>
        <v>1</v>
      </c>
      <c r="M129">
        <v>0</v>
      </c>
      <c r="N129">
        <v>0</v>
      </c>
      <c r="O129">
        <v>0</v>
      </c>
      <c r="P129">
        <f t="shared" si="17"/>
        <v>0</v>
      </c>
      <c r="Q129">
        <f t="shared" si="18"/>
        <v>0</v>
      </c>
      <c r="R129">
        <f t="shared" si="19"/>
        <v>0</v>
      </c>
      <c r="S129">
        <v>0</v>
      </c>
      <c r="T129">
        <v>0</v>
      </c>
      <c r="U129">
        <v>0</v>
      </c>
      <c r="V129">
        <v>20</v>
      </c>
    </row>
    <row r="130" spans="1:22" x14ac:dyDescent="0.3">
      <c r="A130" t="s">
        <v>148</v>
      </c>
      <c r="B130" t="s">
        <v>167</v>
      </c>
      <c r="C130">
        <v>34</v>
      </c>
      <c r="D130" t="s">
        <v>30</v>
      </c>
      <c r="E130" t="s">
        <v>31</v>
      </c>
      <c r="F130" t="s">
        <v>38</v>
      </c>
      <c r="G130">
        <f t="shared" ref="G130:G193" si="20">IF(F130="Normal",1,IF(F130="Impact",2,IF(F130="Star",3,IF(F130="Elite",4,0))))</f>
        <v>2</v>
      </c>
      <c r="H130">
        <v>0</v>
      </c>
      <c r="I130">
        <f t="shared" si="13"/>
        <v>0</v>
      </c>
      <c r="J130">
        <f t="shared" si="14"/>
        <v>0</v>
      </c>
      <c r="K130">
        <f t="shared" si="15"/>
        <v>0</v>
      </c>
      <c r="L130">
        <f t="shared" si="16"/>
        <v>0</v>
      </c>
      <c r="M130">
        <v>0</v>
      </c>
      <c r="N130">
        <v>0</v>
      </c>
      <c r="O130">
        <v>0</v>
      </c>
      <c r="P130">
        <f t="shared" si="17"/>
        <v>0</v>
      </c>
      <c r="Q130">
        <f t="shared" si="18"/>
        <v>0</v>
      </c>
      <c r="R130">
        <f t="shared" si="19"/>
        <v>0</v>
      </c>
      <c r="S130">
        <v>0</v>
      </c>
      <c r="T130">
        <v>0</v>
      </c>
      <c r="U130">
        <v>0</v>
      </c>
      <c r="V130">
        <v>20</v>
      </c>
    </row>
    <row r="131" spans="1:22" x14ac:dyDescent="0.3">
      <c r="A131" t="s">
        <v>148</v>
      </c>
      <c r="B131" t="s">
        <v>176</v>
      </c>
      <c r="C131">
        <v>33</v>
      </c>
      <c r="D131" t="s">
        <v>56</v>
      </c>
      <c r="E131" t="s">
        <v>34</v>
      </c>
      <c r="F131" t="s">
        <v>38</v>
      </c>
      <c r="G131">
        <f t="shared" si="20"/>
        <v>2</v>
      </c>
      <c r="H131">
        <v>0</v>
      </c>
      <c r="I131">
        <f t="shared" si="13"/>
        <v>0</v>
      </c>
      <c r="J131">
        <f t="shared" si="14"/>
        <v>0</v>
      </c>
      <c r="K131">
        <f t="shared" si="15"/>
        <v>0</v>
      </c>
      <c r="L131">
        <f t="shared" si="16"/>
        <v>1</v>
      </c>
      <c r="M131">
        <v>0</v>
      </c>
      <c r="N131">
        <v>0</v>
      </c>
      <c r="O131">
        <v>0</v>
      </c>
      <c r="P131">
        <f t="shared" si="17"/>
        <v>0</v>
      </c>
      <c r="Q131">
        <f t="shared" si="18"/>
        <v>0</v>
      </c>
      <c r="R131">
        <f t="shared" si="19"/>
        <v>0</v>
      </c>
      <c r="S131">
        <v>0</v>
      </c>
      <c r="T131">
        <v>0</v>
      </c>
      <c r="U131">
        <v>0</v>
      </c>
      <c r="V131">
        <v>20</v>
      </c>
    </row>
    <row r="132" spans="1:22" x14ac:dyDescent="0.3">
      <c r="A132" t="s">
        <v>148</v>
      </c>
      <c r="B132" t="s">
        <v>177</v>
      </c>
      <c r="C132">
        <v>30</v>
      </c>
      <c r="D132" t="s">
        <v>56</v>
      </c>
      <c r="E132" t="s">
        <v>31</v>
      </c>
      <c r="F132" t="s">
        <v>38</v>
      </c>
      <c r="G132">
        <f t="shared" si="20"/>
        <v>2</v>
      </c>
      <c r="H132">
        <v>0</v>
      </c>
      <c r="I132">
        <f t="shared" si="13"/>
        <v>0</v>
      </c>
      <c r="J132">
        <f t="shared" si="14"/>
        <v>0</v>
      </c>
      <c r="K132">
        <f t="shared" si="15"/>
        <v>0</v>
      </c>
      <c r="L132">
        <f t="shared" si="16"/>
        <v>1</v>
      </c>
      <c r="M132">
        <v>0</v>
      </c>
      <c r="N132">
        <v>0</v>
      </c>
      <c r="O132">
        <v>0</v>
      </c>
      <c r="P132">
        <f t="shared" si="17"/>
        <v>0</v>
      </c>
      <c r="Q132">
        <f t="shared" si="18"/>
        <v>0</v>
      </c>
      <c r="R132">
        <f t="shared" si="19"/>
        <v>0</v>
      </c>
      <c r="S132">
        <v>0</v>
      </c>
      <c r="T132">
        <v>0</v>
      </c>
      <c r="U132">
        <v>0</v>
      </c>
      <c r="V132">
        <v>20</v>
      </c>
    </row>
    <row r="133" spans="1:22" x14ac:dyDescent="0.3">
      <c r="A133" t="s">
        <v>148</v>
      </c>
      <c r="B133" t="s">
        <v>178</v>
      </c>
      <c r="C133">
        <v>37</v>
      </c>
      <c r="D133" t="s">
        <v>54</v>
      </c>
      <c r="E133" t="s">
        <v>34</v>
      </c>
      <c r="F133" t="s">
        <v>38</v>
      </c>
      <c r="G133">
        <f t="shared" si="20"/>
        <v>2</v>
      </c>
      <c r="H133">
        <v>0</v>
      </c>
      <c r="I133">
        <f t="shared" si="13"/>
        <v>0</v>
      </c>
      <c r="J133">
        <f t="shared" si="14"/>
        <v>0</v>
      </c>
      <c r="K133">
        <f t="shared" si="15"/>
        <v>0</v>
      </c>
      <c r="L133">
        <f t="shared" si="16"/>
        <v>0</v>
      </c>
      <c r="M133">
        <v>0</v>
      </c>
      <c r="N133">
        <v>0</v>
      </c>
      <c r="O133">
        <v>0</v>
      </c>
      <c r="P133">
        <f t="shared" si="17"/>
        <v>0</v>
      </c>
      <c r="Q133">
        <f t="shared" si="18"/>
        <v>0</v>
      </c>
      <c r="R133">
        <f t="shared" si="19"/>
        <v>0</v>
      </c>
      <c r="S133">
        <v>0</v>
      </c>
      <c r="T133">
        <v>0</v>
      </c>
      <c r="U133">
        <v>0</v>
      </c>
      <c r="V133">
        <v>20</v>
      </c>
    </row>
    <row r="134" spans="1:22" x14ac:dyDescent="0.3">
      <c r="A134" t="s">
        <v>148</v>
      </c>
      <c r="B134" t="s">
        <v>179</v>
      </c>
      <c r="C134">
        <v>33</v>
      </c>
      <c r="D134" t="s">
        <v>54</v>
      </c>
      <c r="E134" t="s">
        <v>34</v>
      </c>
      <c r="F134" t="s">
        <v>38</v>
      </c>
      <c r="G134">
        <f t="shared" si="20"/>
        <v>2</v>
      </c>
      <c r="H134">
        <v>0</v>
      </c>
      <c r="I134">
        <f t="shared" si="13"/>
        <v>0</v>
      </c>
      <c r="J134">
        <f t="shared" si="14"/>
        <v>0</v>
      </c>
      <c r="K134">
        <f t="shared" si="15"/>
        <v>0</v>
      </c>
      <c r="L134">
        <f t="shared" si="16"/>
        <v>0</v>
      </c>
      <c r="M134">
        <v>0</v>
      </c>
      <c r="N134">
        <v>0</v>
      </c>
      <c r="O134">
        <v>0</v>
      </c>
      <c r="P134">
        <f t="shared" si="17"/>
        <v>0</v>
      </c>
      <c r="Q134">
        <f t="shared" si="18"/>
        <v>0</v>
      </c>
      <c r="R134">
        <f t="shared" si="19"/>
        <v>0</v>
      </c>
      <c r="S134">
        <v>0</v>
      </c>
      <c r="T134">
        <v>0</v>
      </c>
      <c r="U134">
        <v>0</v>
      </c>
      <c r="V134">
        <v>20</v>
      </c>
    </row>
    <row r="135" spans="1:22" x14ac:dyDescent="0.3">
      <c r="A135" t="s">
        <v>148</v>
      </c>
      <c r="B135" t="s">
        <v>180</v>
      </c>
      <c r="C135">
        <v>26</v>
      </c>
      <c r="D135" t="s">
        <v>36</v>
      </c>
      <c r="E135" t="s">
        <v>34</v>
      </c>
      <c r="F135" t="s">
        <v>60</v>
      </c>
      <c r="G135">
        <f t="shared" si="20"/>
        <v>1</v>
      </c>
      <c r="H135">
        <v>0</v>
      </c>
      <c r="I135">
        <f t="shared" si="13"/>
        <v>1</v>
      </c>
      <c r="J135">
        <f t="shared" si="14"/>
        <v>1</v>
      </c>
      <c r="K135">
        <f t="shared" si="15"/>
        <v>1</v>
      </c>
      <c r="L135">
        <f t="shared" si="16"/>
        <v>0</v>
      </c>
      <c r="M135">
        <v>0</v>
      </c>
      <c r="N135">
        <v>0</v>
      </c>
      <c r="O135">
        <v>0</v>
      </c>
      <c r="P135">
        <f t="shared" si="17"/>
        <v>0</v>
      </c>
      <c r="Q135">
        <f t="shared" si="18"/>
        <v>1</v>
      </c>
      <c r="R135">
        <f t="shared" si="19"/>
        <v>0</v>
      </c>
      <c r="S135">
        <v>0</v>
      </c>
      <c r="T135">
        <v>0</v>
      </c>
      <c r="U135">
        <v>0</v>
      </c>
      <c r="V135">
        <v>20</v>
      </c>
    </row>
    <row r="136" spans="1:22" x14ac:dyDescent="0.3">
      <c r="A136" t="s">
        <v>148</v>
      </c>
      <c r="B136" t="s">
        <v>181</v>
      </c>
      <c r="C136">
        <v>21</v>
      </c>
      <c r="D136" t="s">
        <v>24</v>
      </c>
      <c r="E136" t="s">
        <v>28</v>
      </c>
      <c r="F136" t="s">
        <v>60</v>
      </c>
      <c r="G136">
        <f t="shared" si="20"/>
        <v>1</v>
      </c>
      <c r="H136">
        <v>93</v>
      </c>
      <c r="I136">
        <f t="shared" si="13"/>
        <v>1</v>
      </c>
      <c r="J136">
        <f t="shared" si="14"/>
        <v>1</v>
      </c>
      <c r="K136">
        <f t="shared" si="15"/>
        <v>0</v>
      </c>
      <c r="L136">
        <f t="shared" si="16"/>
        <v>0</v>
      </c>
      <c r="M136">
        <v>0</v>
      </c>
      <c r="N136">
        <v>0</v>
      </c>
      <c r="O136">
        <v>0</v>
      </c>
      <c r="P136">
        <f t="shared" si="17"/>
        <v>0</v>
      </c>
      <c r="Q136">
        <f t="shared" si="18"/>
        <v>0</v>
      </c>
      <c r="R136">
        <f t="shared" si="19"/>
        <v>0</v>
      </c>
      <c r="S136">
        <v>0</v>
      </c>
      <c r="T136">
        <v>0</v>
      </c>
      <c r="U136">
        <v>0</v>
      </c>
      <c r="V136">
        <v>20</v>
      </c>
    </row>
    <row r="137" spans="1:22" x14ac:dyDescent="0.3">
      <c r="A137" t="s">
        <v>148</v>
      </c>
      <c r="B137" t="s">
        <v>182</v>
      </c>
      <c r="C137">
        <v>13</v>
      </c>
      <c r="D137" t="s">
        <v>24</v>
      </c>
      <c r="E137" t="s">
        <v>34</v>
      </c>
      <c r="F137" t="s">
        <v>60</v>
      </c>
      <c r="G137">
        <f t="shared" si="20"/>
        <v>1</v>
      </c>
      <c r="H137">
        <v>46</v>
      </c>
      <c r="I137">
        <f t="shared" si="13"/>
        <v>1</v>
      </c>
      <c r="J137">
        <f t="shared" si="14"/>
        <v>1</v>
      </c>
      <c r="K137">
        <f t="shared" si="15"/>
        <v>0</v>
      </c>
      <c r="L137">
        <f t="shared" si="16"/>
        <v>0</v>
      </c>
      <c r="M137">
        <v>0</v>
      </c>
      <c r="N137">
        <v>0</v>
      </c>
      <c r="O137">
        <v>0</v>
      </c>
      <c r="P137">
        <f t="shared" si="17"/>
        <v>0</v>
      </c>
      <c r="Q137">
        <f t="shared" si="18"/>
        <v>0</v>
      </c>
      <c r="R137">
        <f t="shared" si="19"/>
        <v>0</v>
      </c>
      <c r="S137">
        <v>0</v>
      </c>
      <c r="T137">
        <v>0</v>
      </c>
      <c r="U137">
        <v>0</v>
      </c>
      <c r="V137">
        <v>20</v>
      </c>
    </row>
    <row r="138" spans="1:22" x14ac:dyDescent="0.3">
      <c r="A138" t="s">
        <v>148</v>
      </c>
      <c r="B138" t="s">
        <v>183</v>
      </c>
      <c r="C138">
        <v>27</v>
      </c>
      <c r="D138" t="s">
        <v>43</v>
      </c>
      <c r="E138" t="s">
        <v>34</v>
      </c>
      <c r="F138" t="s">
        <v>60</v>
      </c>
      <c r="G138">
        <f t="shared" si="20"/>
        <v>1</v>
      </c>
      <c r="H138">
        <v>0</v>
      </c>
      <c r="I138">
        <f t="shared" si="13"/>
        <v>1</v>
      </c>
      <c r="J138">
        <f t="shared" si="14"/>
        <v>1</v>
      </c>
      <c r="K138">
        <f t="shared" si="15"/>
        <v>1</v>
      </c>
      <c r="L138">
        <f t="shared" si="16"/>
        <v>0</v>
      </c>
      <c r="M138">
        <v>0</v>
      </c>
      <c r="N138">
        <v>0</v>
      </c>
      <c r="O138">
        <v>0</v>
      </c>
      <c r="P138">
        <f t="shared" si="17"/>
        <v>0</v>
      </c>
      <c r="Q138">
        <f t="shared" si="18"/>
        <v>1</v>
      </c>
      <c r="R138">
        <f t="shared" si="19"/>
        <v>0</v>
      </c>
      <c r="S138">
        <v>0</v>
      </c>
      <c r="T138">
        <v>0</v>
      </c>
      <c r="U138">
        <v>0</v>
      </c>
      <c r="V138">
        <v>20</v>
      </c>
    </row>
    <row r="139" spans="1:22" x14ac:dyDescent="0.3">
      <c r="A139" t="s">
        <v>148</v>
      </c>
      <c r="B139" t="s">
        <v>184</v>
      </c>
      <c r="C139">
        <v>8</v>
      </c>
      <c r="D139" t="s">
        <v>24</v>
      </c>
      <c r="E139" t="s">
        <v>41</v>
      </c>
      <c r="F139" t="s">
        <v>60</v>
      </c>
      <c r="G139">
        <f t="shared" si="20"/>
        <v>1</v>
      </c>
      <c r="H139">
        <v>0</v>
      </c>
      <c r="I139">
        <f t="shared" si="13"/>
        <v>1</v>
      </c>
      <c r="J139">
        <f t="shared" si="14"/>
        <v>1</v>
      </c>
      <c r="K139">
        <f t="shared" si="15"/>
        <v>0</v>
      </c>
      <c r="L139">
        <f t="shared" si="16"/>
        <v>0</v>
      </c>
      <c r="M139">
        <v>0</v>
      </c>
      <c r="N139">
        <v>0</v>
      </c>
      <c r="O139">
        <v>0</v>
      </c>
      <c r="P139">
        <f t="shared" si="17"/>
        <v>0</v>
      </c>
      <c r="Q139">
        <f t="shared" si="18"/>
        <v>0</v>
      </c>
      <c r="R139">
        <f t="shared" si="19"/>
        <v>0</v>
      </c>
      <c r="S139">
        <v>0</v>
      </c>
      <c r="T139">
        <v>0</v>
      </c>
      <c r="U139">
        <v>0</v>
      </c>
      <c r="V139">
        <v>20</v>
      </c>
    </row>
    <row r="140" spans="1:22" x14ac:dyDescent="0.3">
      <c r="A140" t="s">
        <v>148</v>
      </c>
      <c r="B140" t="s">
        <v>185</v>
      </c>
      <c r="C140">
        <v>20</v>
      </c>
      <c r="D140" t="s">
        <v>56</v>
      </c>
      <c r="E140" t="s">
        <v>34</v>
      </c>
      <c r="F140" t="s">
        <v>60</v>
      </c>
      <c r="G140">
        <f t="shared" si="20"/>
        <v>1</v>
      </c>
      <c r="H140">
        <v>0</v>
      </c>
      <c r="I140">
        <f t="shared" si="13"/>
        <v>0</v>
      </c>
      <c r="J140">
        <f t="shared" si="14"/>
        <v>0</v>
      </c>
      <c r="K140">
        <f t="shared" si="15"/>
        <v>0</v>
      </c>
      <c r="L140">
        <f t="shared" si="16"/>
        <v>1</v>
      </c>
      <c r="M140">
        <v>0</v>
      </c>
      <c r="N140">
        <v>0</v>
      </c>
      <c r="O140">
        <v>0</v>
      </c>
      <c r="P140">
        <f t="shared" si="17"/>
        <v>0</v>
      </c>
      <c r="Q140">
        <f t="shared" si="18"/>
        <v>0</v>
      </c>
      <c r="R140">
        <f t="shared" si="19"/>
        <v>0</v>
      </c>
      <c r="S140">
        <v>0</v>
      </c>
      <c r="T140">
        <v>0</v>
      </c>
      <c r="U140">
        <v>0</v>
      </c>
      <c r="V140">
        <v>20</v>
      </c>
    </row>
    <row r="141" spans="1:22" x14ac:dyDescent="0.3">
      <c r="A141" t="s">
        <v>148</v>
      </c>
      <c r="B141" t="s">
        <v>186</v>
      </c>
      <c r="C141">
        <v>17</v>
      </c>
      <c r="D141" t="s">
        <v>73</v>
      </c>
      <c r="E141" t="s">
        <v>31</v>
      </c>
      <c r="F141" t="s">
        <v>60</v>
      </c>
      <c r="G141">
        <f t="shared" si="20"/>
        <v>1</v>
      </c>
      <c r="H141">
        <v>0</v>
      </c>
      <c r="I141">
        <f t="shared" si="13"/>
        <v>0</v>
      </c>
      <c r="J141">
        <f t="shared" si="14"/>
        <v>1</v>
      </c>
      <c r="K141">
        <f t="shared" si="15"/>
        <v>0</v>
      </c>
      <c r="L141">
        <f t="shared" si="16"/>
        <v>1</v>
      </c>
      <c r="M141">
        <v>0</v>
      </c>
      <c r="N141">
        <v>0</v>
      </c>
      <c r="O141">
        <v>0</v>
      </c>
      <c r="P141">
        <f t="shared" si="17"/>
        <v>0</v>
      </c>
      <c r="Q141">
        <f t="shared" si="18"/>
        <v>0</v>
      </c>
      <c r="R141">
        <f t="shared" si="19"/>
        <v>0</v>
      </c>
      <c r="S141">
        <v>0</v>
      </c>
      <c r="T141">
        <v>0</v>
      </c>
      <c r="U141">
        <v>0</v>
      </c>
      <c r="V141">
        <v>20</v>
      </c>
    </row>
    <row r="142" spans="1:22" x14ac:dyDescent="0.3">
      <c r="A142" t="s">
        <v>148</v>
      </c>
      <c r="B142" t="s">
        <v>187</v>
      </c>
      <c r="C142">
        <v>21</v>
      </c>
      <c r="D142" t="s">
        <v>73</v>
      </c>
      <c r="E142" t="s">
        <v>34</v>
      </c>
      <c r="F142" t="s">
        <v>60</v>
      </c>
      <c r="G142">
        <f t="shared" si="20"/>
        <v>1</v>
      </c>
      <c r="H142">
        <v>0</v>
      </c>
      <c r="I142">
        <f t="shared" si="13"/>
        <v>0</v>
      </c>
      <c r="J142">
        <f t="shared" si="14"/>
        <v>1</v>
      </c>
      <c r="K142">
        <f t="shared" si="15"/>
        <v>0</v>
      </c>
      <c r="L142">
        <f t="shared" si="16"/>
        <v>1</v>
      </c>
      <c r="M142">
        <v>0</v>
      </c>
      <c r="N142">
        <v>0</v>
      </c>
      <c r="O142">
        <v>0</v>
      </c>
      <c r="P142">
        <f t="shared" si="17"/>
        <v>0</v>
      </c>
      <c r="Q142">
        <f t="shared" si="18"/>
        <v>0</v>
      </c>
      <c r="R142">
        <f t="shared" si="19"/>
        <v>0</v>
      </c>
      <c r="S142">
        <v>0</v>
      </c>
      <c r="T142">
        <v>0</v>
      </c>
      <c r="U142">
        <v>0</v>
      </c>
      <c r="V142">
        <v>20</v>
      </c>
    </row>
    <row r="143" spans="1:22" x14ac:dyDescent="0.3">
      <c r="A143" t="s">
        <v>148</v>
      </c>
      <c r="B143" t="s">
        <v>188</v>
      </c>
      <c r="C143">
        <v>79</v>
      </c>
      <c r="D143" t="s">
        <v>36</v>
      </c>
      <c r="E143" t="s">
        <v>34</v>
      </c>
      <c r="F143" t="s">
        <v>65</v>
      </c>
      <c r="G143">
        <f t="shared" si="20"/>
        <v>3</v>
      </c>
      <c r="H143">
        <v>915</v>
      </c>
      <c r="I143">
        <f t="shared" si="13"/>
        <v>1</v>
      </c>
      <c r="J143">
        <f t="shared" si="14"/>
        <v>1</v>
      </c>
      <c r="K143">
        <f t="shared" si="15"/>
        <v>1</v>
      </c>
      <c r="L143">
        <f t="shared" si="16"/>
        <v>0</v>
      </c>
      <c r="M143">
        <v>0</v>
      </c>
      <c r="N143">
        <v>0</v>
      </c>
      <c r="O143">
        <v>0</v>
      </c>
      <c r="P143">
        <f t="shared" si="17"/>
        <v>0</v>
      </c>
      <c r="Q143">
        <f t="shared" si="18"/>
        <v>1</v>
      </c>
      <c r="R143">
        <f t="shared" si="19"/>
        <v>1</v>
      </c>
      <c r="S143">
        <v>0</v>
      </c>
      <c r="T143">
        <v>0</v>
      </c>
      <c r="U143">
        <v>0</v>
      </c>
      <c r="V143">
        <v>20</v>
      </c>
    </row>
    <row r="144" spans="1:22" x14ac:dyDescent="0.3">
      <c r="A144" t="s">
        <v>148</v>
      </c>
      <c r="B144" t="s">
        <v>189</v>
      </c>
      <c r="C144">
        <v>57</v>
      </c>
      <c r="D144" t="s">
        <v>36</v>
      </c>
      <c r="E144" t="s">
        <v>31</v>
      </c>
      <c r="F144" t="s">
        <v>65</v>
      </c>
      <c r="G144">
        <f t="shared" si="20"/>
        <v>3</v>
      </c>
      <c r="H144">
        <v>0</v>
      </c>
      <c r="I144">
        <f t="shared" si="13"/>
        <v>1</v>
      </c>
      <c r="J144">
        <f t="shared" si="14"/>
        <v>1</v>
      </c>
      <c r="K144">
        <f t="shared" si="15"/>
        <v>1</v>
      </c>
      <c r="L144">
        <f t="shared" si="16"/>
        <v>0</v>
      </c>
      <c r="M144">
        <v>0</v>
      </c>
      <c r="N144">
        <v>0</v>
      </c>
      <c r="O144">
        <v>0</v>
      </c>
      <c r="P144">
        <f t="shared" si="17"/>
        <v>0</v>
      </c>
      <c r="Q144">
        <f t="shared" si="18"/>
        <v>1</v>
      </c>
      <c r="R144">
        <f t="shared" si="19"/>
        <v>0</v>
      </c>
      <c r="S144">
        <v>0</v>
      </c>
      <c r="T144">
        <v>0</v>
      </c>
      <c r="U144">
        <v>0</v>
      </c>
      <c r="V144">
        <v>20</v>
      </c>
    </row>
    <row r="145" spans="1:22" x14ac:dyDescent="0.3">
      <c r="A145" t="s">
        <v>148</v>
      </c>
      <c r="B145" t="s">
        <v>190</v>
      </c>
      <c r="C145">
        <v>51</v>
      </c>
      <c r="D145" t="s">
        <v>24</v>
      </c>
      <c r="E145" t="s">
        <v>28</v>
      </c>
      <c r="F145" t="s">
        <v>65</v>
      </c>
      <c r="G145">
        <f t="shared" si="20"/>
        <v>3</v>
      </c>
      <c r="H145">
        <v>249</v>
      </c>
      <c r="I145">
        <f t="shared" si="13"/>
        <v>1</v>
      </c>
      <c r="J145">
        <f t="shared" si="14"/>
        <v>1</v>
      </c>
      <c r="K145">
        <f t="shared" si="15"/>
        <v>0</v>
      </c>
      <c r="L145">
        <f t="shared" si="16"/>
        <v>0</v>
      </c>
      <c r="M145">
        <v>0</v>
      </c>
      <c r="N145">
        <v>0</v>
      </c>
      <c r="O145">
        <v>0</v>
      </c>
      <c r="P145">
        <f t="shared" si="17"/>
        <v>0</v>
      </c>
      <c r="Q145">
        <f t="shared" si="18"/>
        <v>0</v>
      </c>
      <c r="R145">
        <f t="shared" si="19"/>
        <v>0</v>
      </c>
      <c r="S145">
        <v>0</v>
      </c>
      <c r="T145">
        <v>0</v>
      </c>
      <c r="U145">
        <v>0</v>
      </c>
      <c r="V145">
        <v>20</v>
      </c>
    </row>
    <row r="146" spans="1:22" x14ac:dyDescent="0.3">
      <c r="A146" t="s">
        <v>148</v>
      </c>
      <c r="B146" t="s">
        <v>191</v>
      </c>
      <c r="C146">
        <v>48</v>
      </c>
      <c r="D146" t="s">
        <v>40</v>
      </c>
      <c r="E146" t="s">
        <v>25</v>
      </c>
      <c r="F146" t="s">
        <v>65</v>
      </c>
      <c r="G146">
        <f t="shared" si="20"/>
        <v>3</v>
      </c>
      <c r="H146">
        <v>301</v>
      </c>
      <c r="I146">
        <f t="shared" si="13"/>
        <v>1</v>
      </c>
      <c r="J146">
        <f t="shared" si="14"/>
        <v>1</v>
      </c>
      <c r="K146">
        <f t="shared" si="15"/>
        <v>1</v>
      </c>
      <c r="L146">
        <f t="shared" si="16"/>
        <v>0</v>
      </c>
      <c r="M146">
        <v>0</v>
      </c>
      <c r="N146">
        <v>0</v>
      </c>
      <c r="O146">
        <v>0</v>
      </c>
      <c r="P146">
        <f t="shared" si="17"/>
        <v>0</v>
      </c>
      <c r="Q146">
        <f t="shared" si="18"/>
        <v>0</v>
      </c>
      <c r="R146">
        <f t="shared" si="19"/>
        <v>0</v>
      </c>
      <c r="S146">
        <v>0</v>
      </c>
      <c r="T146">
        <v>0</v>
      </c>
      <c r="U146">
        <v>0</v>
      </c>
      <c r="V146">
        <v>20</v>
      </c>
    </row>
    <row r="147" spans="1:22" x14ac:dyDescent="0.3">
      <c r="A147" t="s">
        <v>148</v>
      </c>
      <c r="B147" t="s">
        <v>192</v>
      </c>
      <c r="C147">
        <v>65</v>
      </c>
      <c r="D147" t="s">
        <v>46</v>
      </c>
      <c r="E147" t="s">
        <v>34</v>
      </c>
      <c r="F147" t="s">
        <v>65</v>
      </c>
      <c r="G147">
        <f t="shared" si="20"/>
        <v>3</v>
      </c>
      <c r="H147">
        <v>75</v>
      </c>
      <c r="I147">
        <f t="shared" si="13"/>
        <v>1</v>
      </c>
      <c r="J147">
        <f t="shared" si="14"/>
        <v>1</v>
      </c>
      <c r="K147">
        <f t="shared" si="15"/>
        <v>0</v>
      </c>
      <c r="L147">
        <f t="shared" si="16"/>
        <v>0</v>
      </c>
      <c r="M147">
        <v>0</v>
      </c>
      <c r="N147">
        <v>0</v>
      </c>
      <c r="O147">
        <v>0</v>
      </c>
      <c r="P147">
        <f t="shared" si="17"/>
        <v>1</v>
      </c>
      <c r="Q147">
        <f t="shared" si="18"/>
        <v>0</v>
      </c>
      <c r="R147">
        <f t="shared" si="19"/>
        <v>0</v>
      </c>
      <c r="S147">
        <v>0</v>
      </c>
      <c r="T147">
        <v>0</v>
      </c>
      <c r="U147">
        <v>0</v>
      </c>
      <c r="V147">
        <v>20</v>
      </c>
    </row>
    <row r="148" spans="1:22" x14ac:dyDescent="0.3">
      <c r="A148" t="s">
        <v>148</v>
      </c>
      <c r="B148" t="s">
        <v>193</v>
      </c>
      <c r="C148">
        <v>52</v>
      </c>
      <c r="D148" t="s">
        <v>46</v>
      </c>
      <c r="E148" t="s">
        <v>31</v>
      </c>
      <c r="F148" t="s">
        <v>65</v>
      </c>
      <c r="G148">
        <f t="shared" si="20"/>
        <v>3</v>
      </c>
      <c r="H148">
        <v>1</v>
      </c>
      <c r="I148">
        <f t="shared" si="13"/>
        <v>1</v>
      </c>
      <c r="J148">
        <f t="shared" si="14"/>
        <v>1</v>
      </c>
      <c r="K148">
        <f t="shared" si="15"/>
        <v>0</v>
      </c>
      <c r="L148">
        <f t="shared" si="16"/>
        <v>0</v>
      </c>
      <c r="M148">
        <v>0</v>
      </c>
      <c r="N148">
        <v>0</v>
      </c>
      <c r="O148">
        <v>0</v>
      </c>
      <c r="P148">
        <f t="shared" si="17"/>
        <v>1</v>
      </c>
      <c r="Q148">
        <f t="shared" si="18"/>
        <v>0</v>
      </c>
      <c r="R148">
        <f t="shared" si="19"/>
        <v>0</v>
      </c>
      <c r="S148">
        <v>0</v>
      </c>
      <c r="T148">
        <v>0</v>
      </c>
      <c r="U148">
        <v>0</v>
      </c>
      <c r="V148">
        <v>20</v>
      </c>
    </row>
    <row r="149" spans="1:22" x14ac:dyDescent="0.3">
      <c r="A149" t="s">
        <v>148</v>
      </c>
      <c r="B149" t="s">
        <v>194</v>
      </c>
      <c r="C149">
        <v>58</v>
      </c>
      <c r="D149" t="s">
        <v>46</v>
      </c>
      <c r="E149" t="s">
        <v>34</v>
      </c>
      <c r="F149" t="s">
        <v>65</v>
      </c>
      <c r="G149">
        <f t="shared" si="20"/>
        <v>3</v>
      </c>
      <c r="H149">
        <v>0</v>
      </c>
      <c r="I149">
        <f t="shared" si="13"/>
        <v>1</v>
      </c>
      <c r="J149">
        <f t="shared" si="14"/>
        <v>1</v>
      </c>
      <c r="K149">
        <f t="shared" si="15"/>
        <v>0</v>
      </c>
      <c r="L149">
        <f t="shared" si="16"/>
        <v>0</v>
      </c>
      <c r="M149">
        <v>0</v>
      </c>
      <c r="N149">
        <v>0</v>
      </c>
      <c r="O149">
        <v>0</v>
      </c>
      <c r="P149">
        <f t="shared" si="17"/>
        <v>1</v>
      </c>
      <c r="Q149">
        <f t="shared" si="18"/>
        <v>0</v>
      </c>
      <c r="R149">
        <f t="shared" si="19"/>
        <v>0</v>
      </c>
      <c r="S149">
        <v>0</v>
      </c>
      <c r="T149">
        <v>0</v>
      </c>
      <c r="U149">
        <v>0</v>
      </c>
      <c r="V149">
        <v>20</v>
      </c>
    </row>
    <row r="150" spans="1:22" x14ac:dyDescent="0.3">
      <c r="A150" t="s">
        <v>148</v>
      </c>
      <c r="B150" t="s">
        <v>195</v>
      </c>
      <c r="C150">
        <v>71</v>
      </c>
      <c r="D150" t="s">
        <v>46</v>
      </c>
      <c r="E150" t="s">
        <v>28</v>
      </c>
      <c r="F150" t="s">
        <v>65</v>
      </c>
      <c r="G150">
        <f t="shared" si="20"/>
        <v>3</v>
      </c>
      <c r="H150">
        <v>989</v>
      </c>
      <c r="I150">
        <f t="shared" si="13"/>
        <v>1</v>
      </c>
      <c r="J150">
        <f t="shared" si="14"/>
        <v>1</v>
      </c>
      <c r="K150">
        <f t="shared" si="15"/>
        <v>0</v>
      </c>
      <c r="L150">
        <f t="shared" si="16"/>
        <v>0</v>
      </c>
      <c r="M150">
        <v>0</v>
      </c>
      <c r="N150">
        <v>0</v>
      </c>
      <c r="O150">
        <v>0</v>
      </c>
      <c r="P150">
        <f t="shared" si="17"/>
        <v>1</v>
      </c>
      <c r="Q150">
        <f t="shared" si="18"/>
        <v>0</v>
      </c>
      <c r="R150">
        <f t="shared" si="19"/>
        <v>0</v>
      </c>
      <c r="S150">
        <v>0</v>
      </c>
      <c r="T150">
        <v>0</v>
      </c>
      <c r="U150">
        <v>0</v>
      </c>
      <c r="V150">
        <v>20</v>
      </c>
    </row>
    <row r="151" spans="1:22" x14ac:dyDescent="0.3">
      <c r="A151" t="s">
        <v>148</v>
      </c>
      <c r="B151" t="s">
        <v>196</v>
      </c>
      <c r="C151">
        <v>38</v>
      </c>
      <c r="D151" t="s">
        <v>73</v>
      </c>
      <c r="E151" t="s">
        <v>25</v>
      </c>
      <c r="F151" t="s">
        <v>65</v>
      </c>
      <c r="G151">
        <f t="shared" si="20"/>
        <v>3</v>
      </c>
      <c r="H151">
        <v>306</v>
      </c>
      <c r="I151">
        <f t="shared" si="13"/>
        <v>0</v>
      </c>
      <c r="J151">
        <f t="shared" si="14"/>
        <v>1</v>
      </c>
      <c r="K151">
        <f t="shared" si="15"/>
        <v>0</v>
      </c>
      <c r="L151">
        <f t="shared" si="16"/>
        <v>1</v>
      </c>
      <c r="M151">
        <v>0</v>
      </c>
      <c r="N151">
        <v>0</v>
      </c>
      <c r="O151">
        <v>0</v>
      </c>
      <c r="P151">
        <f t="shared" si="17"/>
        <v>0</v>
      </c>
      <c r="Q151">
        <f t="shared" si="18"/>
        <v>0</v>
      </c>
      <c r="R151">
        <f t="shared" si="19"/>
        <v>0</v>
      </c>
      <c r="S151">
        <v>0</v>
      </c>
      <c r="T151">
        <v>0</v>
      </c>
      <c r="U151">
        <v>0</v>
      </c>
      <c r="V151">
        <v>20</v>
      </c>
    </row>
    <row r="152" spans="1:22" x14ac:dyDescent="0.3">
      <c r="A152" t="s">
        <v>148</v>
      </c>
      <c r="B152" t="s">
        <v>197</v>
      </c>
      <c r="C152">
        <v>44</v>
      </c>
      <c r="D152" t="s">
        <v>54</v>
      </c>
      <c r="E152" t="s">
        <v>25</v>
      </c>
      <c r="F152" t="s">
        <v>65</v>
      </c>
      <c r="G152">
        <f t="shared" si="20"/>
        <v>3</v>
      </c>
      <c r="H152">
        <v>351</v>
      </c>
      <c r="I152">
        <f t="shared" si="13"/>
        <v>0</v>
      </c>
      <c r="J152">
        <f t="shared" si="14"/>
        <v>0</v>
      </c>
      <c r="K152">
        <f t="shared" si="15"/>
        <v>0</v>
      </c>
      <c r="L152">
        <f t="shared" si="16"/>
        <v>0</v>
      </c>
      <c r="M152">
        <v>0</v>
      </c>
      <c r="N152">
        <v>0</v>
      </c>
      <c r="O152">
        <v>0</v>
      </c>
      <c r="P152">
        <f t="shared" si="17"/>
        <v>0</v>
      </c>
      <c r="Q152">
        <f t="shared" si="18"/>
        <v>0</v>
      </c>
      <c r="R152">
        <f t="shared" si="19"/>
        <v>0</v>
      </c>
      <c r="S152">
        <v>0</v>
      </c>
      <c r="T152">
        <v>0</v>
      </c>
      <c r="U152">
        <v>0</v>
      </c>
      <c r="V152">
        <v>20</v>
      </c>
    </row>
    <row r="153" spans="1:22" x14ac:dyDescent="0.3">
      <c r="A153" t="s">
        <v>148</v>
      </c>
      <c r="B153" t="s">
        <v>198</v>
      </c>
      <c r="C153">
        <v>38</v>
      </c>
      <c r="D153" t="s">
        <v>56</v>
      </c>
      <c r="E153" t="s">
        <v>25</v>
      </c>
      <c r="F153" t="s">
        <v>65</v>
      </c>
      <c r="G153">
        <f t="shared" si="20"/>
        <v>3</v>
      </c>
      <c r="H153">
        <v>11</v>
      </c>
      <c r="I153">
        <f t="shared" si="13"/>
        <v>0</v>
      </c>
      <c r="J153">
        <f t="shared" si="14"/>
        <v>0</v>
      </c>
      <c r="K153">
        <f t="shared" si="15"/>
        <v>0</v>
      </c>
      <c r="L153">
        <f t="shared" si="16"/>
        <v>1</v>
      </c>
      <c r="M153">
        <v>0</v>
      </c>
      <c r="N153">
        <v>0</v>
      </c>
      <c r="O153">
        <v>0</v>
      </c>
      <c r="P153">
        <f t="shared" si="17"/>
        <v>0</v>
      </c>
      <c r="Q153">
        <f t="shared" si="18"/>
        <v>0</v>
      </c>
      <c r="R153">
        <f t="shared" si="19"/>
        <v>0</v>
      </c>
      <c r="S153">
        <v>0</v>
      </c>
      <c r="T153">
        <v>0</v>
      </c>
      <c r="U153">
        <v>0</v>
      </c>
      <c r="V153">
        <v>20</v>
      </c>
    </row>
    <row r="154" spans="1:22" x14ac:dyDescent="0.3">
      <c r="A154" t="s">
        <v>148</v>
      </c>
      <c r="B154" t="s">
        <v>199</v>
      </c>
      <c r="C154">
        <v>47</v>
      </c>
      <c r="D154" t="s">
        <v>56</v>
      </c>
      <c r="E154" t="s">
        <v>31</v>
      </c>
      <c r="F154" t="s">
        <v>65</v>
      </c>
      <c r="G154">
        <f t="shared" si="20"/>
        <v>3</v>
      </c>
      <c r="H154">
        <v>0</v>
      </c>
      <c r="I154">
        <f t="shared" si="13"/>
        <v>0</v>
      </c>
      <c r="J154">
        <f t="shared" si="14"/>
        <v>0</v>
      </c>
      <c r="K154">
        <f t="shared" si="15"/>
        <v>0</v>
      </c>
      <c r="L154">
        <f t="shared" si="16"/>
        <v>1</v>
      </c>
      <c r="M154">
        <v>0</v>
      </c>
      <c r="N154">
        <v>0</v>
      </c>
      <c r="O154">
        <v>0</v>
      </c>
      <c r="P154">
        <f t="shared" si="17"/>
        <v>0</v>
      </c>
      <c r="Q154">
        <f>IF(AND(OR(D154="WR",D154="TE",D154="QB"),OR(E154="FR",E154="SO",E154="FR (RS)",E154="SO (RS)")),1,0)</f>
        <v>0</v>
      </c>
      <c r="R154">
        <f t="shared" si="19"/>
        <v>0</v>
      </c>
      <c r="S154">
        <v>0</v>
      </c>
      <c r="T154">
        <v>0</v>
      </c>
      <c r="U154">
        <v>0</v>
      </c>
      <c r="V154">
        <v>20</v>
      </c>
    </row>
    <row r="155" spans="1:22" x14ac:dyDescent="0.3">
      <c r="A155" t="s">
        <v>148</v>
      </c>
      <c r="B155" t="s">
        <v>200</v>
      </c>
      <c r="C155">
        <v>47</v>
      </c>
      <c r="D155" t="s">
        <v>30</v>
      </c>
      <c r="E155" t="s">
        <v>31</v>
      </c>
      <c r="F155" t="s">
        <v>65</v>
      </c>
      <c r="G155">
        <f t="shared" si="20"/>
        <v>3</v>
      </c>
      <c r="H155">
        <v>0</v>
      </c>
      <c r="I155">
        <f t="shared" si="13"/>
        <v>0</v>
      </c>
      <c r="J155">
        <f t="shared" si="14"/>
        <v>0</v>
      </c>
      <c r="K155">
        <f t="shared" si="15"/>
        <v>0</v>
      </c>
      <c r="L155">
        <f t="shared" si="16"/>
        <v>0</v>
      </c>
      <c r="M155">
        <v>0</v>
      </c>
      <c r="N155">
        <v>0</v>
      </c>
      <c r="O155">
        <v>0</v>
      </c>
      <c r="P155">
        <f t="shared" si="17"/>
        <v>0</v>
      </c>
      <c r="Q155">
        <f t="shared" si="18"/>
        <v>0</v>
      </c>
      <c r="R155">
        <f t="shared" si="19"/>
        <v>0</v>
      </c>
      <c r="S155">
        <v>0</v>
      </c>
      <c r="T155">
        <v>0</v>
      </c>
      <c r="U155">
        <v>0</v>
      </c>
      <c r="V155">
        <v>20</v>
      </c>
    </row>
    <row r="156" spans="1:22" x14ac:dyDescent="0.3">
      <c r="A156" t="s">
        <v>148</v>
      </c>
      <c r="B156" t="s">
        <v>201</v>
      </c>
      <c r="C156">
        <v>43</v>
      </c>
      <c r="D156" t="s">
        <v>56</v>
      </c>
      <c r="E156" t="s">
        <v>28</v>
      </c>
      <c r="F156" t="s">
        <v>65</v>
      </c>
      <c r="G156">
        <f t="shared" si="20"/>
        <v>3</v>
      </c>
      <c r="H156">
        <v>11</v>
      </c>
      <c r="I156">
        <f t="shared" si="13"/>
        <v>0</v>
      </c>
      <c r="J156">
        <f t="shared" si="14"/>
        <v>0</v>
      </c>
      <c r="K156">
        <f t="shared" si="15"/>
        <v>0</v>
      </c>
      <c r="L156">
        <f t="shared" si="16"/>
        <v>1</v>
      </c>
      <c r="M156">
        <v>0</v>
      </c>
      <c r="N156">
        <v>0</v>
      </c>
      <c r="O156">
        <v>0</v>
      </c>
      <c r="P156">
        <f t="shared" si="17"/>
        <v>0</v>
      </c>
      <c r="Q156">
        <f t="shared" si="18"/>
        <v>0</v>
      </c>
      <c r="R156">
        <f t="shared" si="19"/>
        <v>0</v>
      </c>
      <c r="S156">
        <v>0</v>
      </c>
      <c r="T156">
        <v>0</v>
      </c>
      <c r="U156">
        <v>0</v>
      </c>
      <c r="V156">
        <v>20</v>
      </c>
    </row>
    <row r="157" spans="1:22" x14ac:dyDescent="0.3">
      <c r="A157" t="s">
        <v>148</v>
      </c>
      <c r="B157" t="s">
        <v>202</v>
      </c>
      <c r="C157">
        <v>55</v>
      </c>
      <c r="D157" t="s">
        <v>30</v>
      </c>
      <c r="E157" t="s">
        <v>34</v>
      </c>
      <c r="F157" t="s">
        <v>65</v>
      </c>
      <c r="G157">
        <f t="shared" si="20"/>
        <v>3</v>
      </c>
      <c r="H157">
        <v>0</v>
      </c>
      <c r="I157">
        <f t="shared" si="13"/>
        <v>0</v>
      </c>
      <c r="J157">
        <f t="shared" si="14"/>
        <v>0</v>
      </c>
      <c r="K157">
        <f t="shared" si="15"/>
        <v>0</v>
      </c>
      <c r="L157">
        <f t="shared" si="16"/>
        <v>0</v>
      </c>
      <c r="M157">
        <v>0</v>
      </c>
      <c r="N157">
        <v>0</v>
      </c>
      <c r="O157">
        <v>0</v>
      </c>
      <c r="P157">
        <f t="shared" si="17"/>
        <v>0</v>
      </c>
      <c r="Q157">
        <f t="shared" si="18"/>
        <v>0</v>
      </c>
      <c r="R157">
        <f t="shared" si="19"/>
        <v>0</v>
      </c>
      <c r="S157">
        <v>0</v>
      </c>
      <c r="T157">
        <v>0</v>
      </c>
      <c r="U157">
        <v>0</v>
      </c>
      <c r="V157">
        <v>20</v>
      </c>
    </row>
    <row r="158" spans="1:22" x14ac:dyDescent="0.3">
      <c r="A158" t="s">
        <v>203</v>
      </c>
      <c r="B158" t="s">
        <v>204</v>
      </c>
      <c r="C158">
        <v>25</v>
      </c>
      <c r="D158" t="s">
        <v>36</v>
      </c>
      <c r="E158" t="s">
        <v>41</v>
      </c>
      <c r="F158" t="s">
        <v>38</v>
      </c>
      <c r="G158">
        <f t="shared" si="20"/>
        <v>2</v>
      </c>
      <c r="H158">
        <v>0</v>
      </c>
      <c r="I158">
        <f t="shared" ref="I158:I207" si="21">IF(OR(D158="QB", D158="LB", D158="DL", D158="CB", D158="S"), 1, 0)</f>
        <v>1</v>
      </c>
      <c r="J158">
        <f t="shared" ref="J158:J207" si="22">IF(OR(D158="DL", D158="LB", D158="CB", D158="S"), 1, 0)</f>
        <v>0</v>
      </c>
      <c r="K158">
        <f t="shared" ref="K158:K207" si="23">IF(D158="RB", 1, 0)</f>
        <v>0</v>
      </c>
      <c r="L158">
        <f t="shared" ref="L158:L207" si="24">IF(OR(D158="LB", D158="DL"), 1, 0)</f>
        <v>0</v>
      </c>
      <c r="M158">
        <v>0</v>
      </c>
      <c r="N158">
        <v>0</v>
      </c>
      <c r="O158">
        <v>0</v>
      </c>
      <c r="P158">
        <f t="shared" ref="P158:P207" si="25">IF(OR(D158="WR", D158="TE"), 1, 0)</f>
        <v>0</v>
      </c>
      <c r="Q158">
        <f>IF(AND(OR(D158="RB"),OR(E158="FR",E158="SO",E158="FR (RS)",E158="SO (RS)")),1,0)</f>
        <v>0</v>
      </c>
      <c r="R158">
        <v>0</v>
      </c>
      <c r="S158">
        <v>0</v>
      </c>
      <c r="T158">
        <v>0</v>
      </c>
      <c r="U158">
        <v>0</v>
      </c>
      <c r="V158">
        <v>30</v>
      </c>
    </row>
    <row r="159" spans="1:22" x14ac:dyDescent="0.3">
      <c r="A159" t="s">
        <v>203</v>
      </c>
      <c r="B159" t="s">
        <v>205</v>
      </c>
      <c r="C159">
        <v>30</v>
      </c>
      <c r="D159" t="s">
        <v>36</v>
      </c>
      <c r="E159" t="s">
        <v>31</v>
      </c>
      <c r="F159" t="s">
        <v>38</v>
      </c>
      <c r="G159">
        <f t="shared" si="20"/>
        <v>2</v>
      </c>
      <c r="H159">
        <v>0</v>
      </c>
      <c r="I159">
        <f t="shared" si="21"/>
        <v>1</v>
      </c>
      <c r="J159">
        <f t="shared" si="22"/>
        <v>0</v>
      </c>
      <c r="K159">
        <f t="shared" si="23"/>
        <v>0</v>
      </c>
      <c r="L159">
        <f t="shared" si="24"/>
        <v>0</v>
      </c>
      <c r="M159">
        <v>0</v>
      </c>
      <c r="N159">
        <v>0</v>
      </c>
      <c r="O159">
        <v>0</v>
      </c>
      <c r="P159">
        <f t="shared" si="25"/>
        <v>0</v>
      </c>
      <c r="Q159">
        <f t="shared" ref="Q159:Q207" si="26">IF(AND(OR(D159="RB"),OR(E159="FR",E159="SO",E159="FR (RS)",E159="SO (RS)")),1,0)</f>
        <v>0</v>
      </c>
      <c r="R159">
        <v>0</v>
      </c>
      <c r="S159">
        <v>0</v>
      </c>
      <c r="T159">
        <v>0</v>
      </c>
      <c r="U159">
        <v>0</v>
      </c>
      <c r="V159">
        <v>30</v>
      </c>
    </row>
    <row r="160" spans="1:22" x14ac:dyDescent="0.3">
      <c r="A160" t="s">
        <v>203</v>
      </c>
      <c r="B160" t="s">
        <v>206</v>
      </c>
      <c r="C160">
        <v>28</v>
      </c>
      <c r="D160" t="s">
        <v>24</v>
      </c>
      <c r="E160" t="s">
        <v>31</v>
      </c>
      <c r="F160" t="s">
        <v>38</v>
      </c>
      <c r="G160">
        <f t="shared" si="20"/>
        <v>2</v>
      </c>
      <c r="H160">
        <v>0</v>
      </c>
      <c r="I160">
        <f t="shared" si="21"/>
        <v>0</v>
      </c>
      <c r="J160">
        <f t="shared" si="22"/>
        <v>0</v>
      </c>
      <c r="K160">
        <f t="shared" si="23"/>
        <v>1</v>
      </c>
      <c r="L160">
        <f t="shared" si="24"/>
        <v>0</v>
      </c>
      <c r="M160">
        <v>0</v>
      </c>
      <c r="N160">
        <v>0</v>
      </c>
      <c r="O160">
        <v>0</v>
      </c>
      <c r="P160">
        <f t="shared" si="25"/>
        <v>0</v>
      </c>
      <c r="Q160">
        <f t="shared" si="26"/>
        <v>1</v>
      </c>
      <c r="R160">
        <v>0</v>
      </c>
      <c r="S160">
        <v>0</v>
      </c>
      <c r="T160">
        <v>0</v>
      </c>
      <c r="U160">
        <v>0</v>
      </c>
      <c r="V160">
        <v>30</v>
      </c>
    </row>
    <row r="161" spans="1:22" x14ac:dyDescent="0.3">
      <c r="A161" t="s">
        <v>203</v>
      </c>
      <c r="B161" t="s">
        <v>207</v>
      </c>
      <c r="C161">
        <v>26</v>
      </c>
      <c r="D161" t="s">
        <v>43</v>
      </c>
      <c r="E161" t="s">
        <v>25</v>
      </c>
      <c r="F161" t="s">
        <v>38</v>
      </c>
      <c r="G161">
        <f t="shared" si="20"/>
        <v>2</v>
      </c>
      <c r="H161">
        <v>825</v>
      </c>
      <c r="I161">
        <f t="shared" si="21"/>
        <v>0</v>
      </c>
      <c r="J161">
        <f t="shared" si="22"/>
        <v>0</v>
      </c>
      <c r="K161">
        <f t="shared" si="23"/>
        <v>0</v>
      </c>
      <c r="L161">
        <f t="shared" si="24"/>
        <v>0</v>
      </c>
      <c r="M161">
        <v>0</v>
      </c>
      <c r="N161">
        <v>0</v>
      </c>
      <c r="O161">
        <v>0</v>
      </c>
      <c r="P161">
        <f t="shared" si="25"/>
        <v>1</v>
      </c>
      <c r="Q161">
        <f t="shared" si="26"/>
        <v>0</v>
      </c>
      <c r="R161">
        <v>0</v>
      </c>
      <c r="S161">
        <v>0</v>
      </c>
      <c r="T161">
        <v>0</v>
      </c>
      <c r="U161">
        <v>0</v>
      </c>
      <c r="V161">
        <v>30</v>
      </c>
    </row>
    <row r="162" spans="1:22" x14ac:dyDescent="0.3">
      <c r="A162" t="s">
        <v>203</v>
      </c>
      <c r="B162" t="s">
        <v>208</v>
      </c>
      <c r="C162">
        <v>32</v>
      </c>
      <c r="D162" t="s">
        <v>43</v>
      </c>
      <c r="E162" t="s">
        <v>28</v>
      </c>
      <c r="F162" t="s">
        <v>38</v>
      </c>
      <c r="G162">
        <f t="shared" si="20"/>
        <v>2</v>
      </c>
      <c r="H162">
        <v>726</v>
      </c>
      <c r="I162">
        <f t="shared" si="21"/>
        <v>0</v>
      </c>
      <c r="J162">
        <f t="shared" si="22"/>
        <v>0</v>
      </c>
      <c r="K162">
        <f t="shared" si="23"/>
        <v>0</v>
      </c>
      <c r="L162">
        <f t="shared" si="24"/>
        <v>0</v>
      </c>
      <c r="M162">
        <v>0</v>
      </c>
      <c r="N162">
        <v>0</v>
      </c>
      <c r="O162">
        <v>0</v>
      </c>
      <c r="P162">
        <f t="shared" si="25"/>
        <v>1</v>
      </c>
      <c r="Q162">
        <f t="shared" si="26"/>
        <v>0</v>
      </c>
      <c r="R162">
        <v>0</v>
      </c>
      <c r="S162">
        <v>0</v>
      </c>
      <c r="T162">
        <v>0</v>
      </c>
      <c r="U162">
        <v>0</v>
      </c>
      <c r="V162">
        <v>30</v>
      </c>
    </row>
    <row r="163" spans="1:22" x14ac:dyDescent="0.3">
      <c r="A163" t="s">
        <v>203</v>
      </c>
      <c r="B163" t="s">
        <v>209</v>
      </c>
      <c r="C163">
        <v>30</v>
      </c>
      <c r="D163" t="s">
        <v>43</v>
      </c>
      <c r="E163" t="s">
        <v>28</v>
      </c>
      <c r="F163" t="s">
        <v>38</v>
      </c>
      <c r="G163">
        <f t="shared" si="20"/>
        <v>2</v>
      </c>
      <c r="H163">
        <v>108</v>
      </c>
      <c r="I163">
        <f t="shared" si="21"/>
        <v>0</v>
      </c>
      <c r="J163">
        <f t="shared" si="22"/>
        <v>0</v>
      </c>
      <c r="K163">
        <f t="shared" si="23"/>
        <v>0</v>
      </c>
      <c r="L163">
        <f t="shared" si="24"/>
        <v>0</v>
      </c>
      <c r="M163">
        <v>0</v>
      </c>
      <c r="N163">
        <v>0</v>
      </c>
      <c r="O163">
        <v>0</v>
      </c>
      <c r="P163">
        <f t="shared" si="25"/>
        <v>1</v>
      </c>
      <c r="Q163">
        <f t="shared" si="26"/>
        <v>0</v>
      </c>
      <c r="R163">
        <v>0</v>
      </c>
      <c r="S163">
        <v>0</v>
      </c>
      <c r="T163">
        <v>0</v>
      </c>
      <c r="U163">
        <v>0</v>
      </c>
      <c r="V163">
        <v>30</v>
      </c>
    </row>
    <row r="164" spans="1:22" x14ac:dyDescent="0.3">
      <c r="A164" t="s">
        <v>203</v>
      </c>
      <c r="B164" t="s">
        <v>210</v>
      </c>
      <c r="C164">
        <v>30</v>
      </c>
      <c r="D164" t="s">
        <v>43</v>
      </c>
      <c r="E164" t="s">
        <v>25</v>
      </c>
      <c r="F164" t="s">
        <v>38</v>
      </c>
      <c r="G164">
        <f t="shared" si="20"/>
        <v>2</v>
      </c>
      <c r="H164">
        <v>111</v>
      </c>
      <c r="I164">
        <f t="shared" si="21"/>
        <v>0</v>
      </c>
      <c r="J164">
        <f t="shared" si="22"/>
        <v>0</v>
      </c>
      <c r="K164">
        <f t="shared" si="23"/>
        <v>0</v>
      </c>
      <c r="L164">
        <f t="shared" si="24"/>
        <v>0</v>
      </c>
      <c r="M164">
        <v>0</v>
      </c>
      <c r="N164">
        <v>0</v>
      </c>
      <c r="O164">
        <v>0</v>
      </c>
      <c r="P164">
        <f t="shared" si="25"/>
        <v>1</v>
      </c>
      <c r="Q164">
        <f t="shared" si="26"/>
        <v>0</v>
      </c>
      <c r="R164">
        <v>0</v>
      </c>
      <c r="S164">
        <v>0</v>
      </c>
      <c r="T164">
        <v>0</v>
      </c>
      <c r="U164">
        <v>0</v>
      </c>
      <c r="V164">
        <v>30</v>
      </c>
    </row>
    <row r="165" spans="1:22" x14ac:dyDescent="0.3">
      <c r="A165" t="s">
        <v>203</v>
      </c>
      <c r="B165" t="s">
        <v>211</v>
      </c>
      <c r="C165">
        <v>31</v>
      </c>
      <c r="D165" t="s">
        <v>43</v>
      </c>
      <c r="E165" t="s">
        <v>25</v>
      </c>
      <c r="F165" t="s">
        <v>38</v>
      </c>
      <c r="G165">
        <f t="shared" si="20"/>
        <v>2</v>
      </c>
      <c r="H165">
        <v>66</v>
      </c>
      <c r="I165">
        <f t="shared" si="21"/>
        <v>0</v>
      </c>
      <c r="J165">
        <f t="shared" si="22"/>
        <v>0</v>
      </c>
      <c r="K165">
        <f t="shared" si="23"/>
        <v>0</v>
      </c>
      <c r="L165">
        <f t="shared" si="24"/>
        <v>0</v>
      </c>
      <c r="M165">
        <v>0</v>
      </c>
      <c r="N165">
        <v>0</v>
      </c>
      <c r="O165">
        <v>0</v>
      </c>
      <c r="P165">
        <f t="shared" si="25"/>
        <v>1</v>
      </c>
      <c r="Q165">
        <f t="shared" si="26"/>
        <v>0</v>
      </c>
      <c r="R165">
        <v>0</v>
      </c>
      <c r="S165">
        <v>0</v>
      </c>
      <c r="T165">
        <v>0</v>
      </c>
      <c r="U165">
        <v>0</v>
      </c>
      <c r="V165">
        <v>30</v>
      </c>
    </row>
    <row r="166" spans="1:22" x14ac:dyDescent="0.3">
      <c r="A166" t="s">
        <v>203</v>
      </c>
      <c r="B166" t="s">
        <v>212</v>
      </c>
      <c r="C166">
        <v>31</v>
      </c>
      <c r="D166" t="s">
        <v>46</v>
      </c>
      <c r="E166" t="s">
        <v>31</v>
      </c>
      <c r="F166" t="s">
        <v>38</v>
      </c>
      <c r="G166">
        <f t="shared" si="20"/>
        <v>2</v>
      </c>
      <c r="H166">
        <v>0</v>
      </c>
      <c r="I166">
        <f t="shared" si="21"/>
        <v>0</v>
      </c>
      <c r="J166">
        <f t="shared" si="22"/>
        <v>0</v>
      </c>
      <c r="K166">
        <f t="shared" si="23"/>
        <v>0</v>
      </c>
      <c r="L166">
        <f t="shared" si="24"/>
        <v>0</v>
      </c>
      <c r="M166">
        <v>0</v>
      </c>
      <c r="N166">
        <v>0</v>
      </c>
      <c r="O166">
        <v>0</v>
      </c>
      <c r="P166">
        <f t="shared" si="25"/>
        <v>0</v>
      </c>
      <c r="Q166">
        <f t="shared" si="26"/>
        <v>0</v>
      </c>
      <c r="R166">
        <v>0</v>
      </c>
      <c r="S166">
        <v>0</v>
      </c>
      <c r="T166">
        <v>0</v>
      </c>
      <c r="U166">
        <v>0</v>
      </c>
      <c r="V166">
        <v>30</v>
      </c>
    </row>
    <row r="167" spans="1:22" x14ac:dyDescent="0.3">
      <c r="A167" t="s">
        <v>203</v>
      </c>
      <c r="B167" t="s">
        <v>213</v>
      </c>
      <c r="C167">
        <v>31</v>
      </c>
      <c r="D167" t="s">
        <v>46</v>
      </c>
      <c r="E167" t="s">
        <v>31</v>
      </c>
      <c r="F167" t="s">
        <v>38</v>
      </c>
      <c r="G167">
        <f t="shared" si="20"/>
        <v>2</v>
      </c>
      <c r="H167">
        <v>0</v>
      </c>
      <c r="I167">
        <f t="shared" si="21"/>
        <v>0</v>
      </c>
      <c r="J167">
        <f t="shared" si="22"/>
        <v>0</v>
      </c>
      <c r="K167">
        <f t="shared" si="23"/>
        <v>0</v>
      </c>
      <c r="L167">
        <f t="shared" si="24"/>
        <v>0</v>
      </c>
      <c r="M167">
        <v>0</v>
      </c>
      <c r="N167">
        <v>0</v>
      </c>
      <c r="O167">
        <v>0</v>
      </c>
      <c r="P167">
        <f t="shared" si="25"/>
        <v>0</v>
      </c>
      <c r="Q167">
        <f t="shared" si="26"/>
        <v>0</v>
      </c>
      <c r="R167">
        <v>0</v>
      </c>
      <c r="S167">
        <v>0</v>
      </c>
      <c r="T167">
        <v>0</v>
      </c>
      <c r="U167">
        <v>0</v>
      </c>
      <c r="V167">
        <v>30</v>
      </c>
    </row>
    <row r="168" spans="1:22" x14ac:dyDescent="0.3">
      <c r="A168" t="s">
        <v>203</v>
      </c>
      <c r="B168" t="s">
        <v>214</v>
      </c>
      <c r="C168">
        <v>30</v>
      </c>
      <c r="D168" t="s">
        <v>46</v>
      </c>
      <c r="E168" t="s">
        <v>31</v>
      </c>
      <c r="F168" t="s">
        <v>38</v>
      </c>
      <c r="G168">
        <f t="shared" si="20"/>
        <v>2</v>
      </c>
      <c r="H168">
        <v>0</v>
      </c>
      <c r="I168">
        <f t="shared" si="21"/>
        <v>0</v>
      </c>
      <c r="J168">
        <f t="shared" si="22"/>
        <v>0</v>
      </c>
      <c r="K168">
        <f t="shared" si="23"/>
        <v>0</v>
      </c>
      <c r="L168">
        <f t="shared" si="24"/>
        <v>0</v>
      </c>
      <c r="M168">
        <v>0</v>
      </c>
      <c r="N168">
        <v>0</v>
      </c>
      <c r="O168">
        <v>0</v>
      </c>
      <c r="P168">
        <f t="shared" si="25"/>
        <v>0</v>
      </c>
      <c r="Q168">
        <f t="shared" si="26"/>
        <v>0</v>
      </c>
      <c r="R168">
        <v>0</v>
      </c>
      <c r="S168">
        <v>0</v>
      </c>
      <c r="T168">
        <v>0</v>
      </c>
      <c r="U168">
        <v>0</v>
      </c>
      <c r="V168">
        <v>30</v>
      </c>
    </row>
    <row r="169" spans="1:22" x14ac:dyDescent="0.3">
      <c r="A169" t="s">
        <v>203</v>
      </c>
      <c r="B169" t="s">
        <v>215</v>
      </c>
      <c r="C169">
        <v>31</v>
      </c>
      <c r="D169" t="s">
        <v>46</v>
      </c>
      <c r="E169" t="s">
        <v>25</v>
      </c>
      <c r="F169" t="s">
        <v>38</v>
      </c>
      <c r="G169">
        <f t="shared" si="20"/>
        <v>2</v>
      </c>
      <c r="H169">
        <v>98</v>
      </c>
      <c r="I169">
        <f t="shared" si="21"/>
        <v>0</v>
      </c>
      <c r="J169">
        <f t="shared" si="22"/>
        <v>0</v>
      </c>
      <c r="K169">
        <f t="shared" si="23"/>
        <v>0</v>
      </c>
      <c r="L169">
        <f t="shared" si="24"/>
        <v>0</v>
      </c>
      <c r="M169">
        <v>0</v>
      </c>
      <c r="N169">
        <v>0</v>
      </c>
      <c r="O169">
        <v>0</v>
      </c>
      <c r="P169">
        <f t="shared" si="25"/>
        <v>0</v>
      </c>
      <c r="Q169">
        <f t="shared" si="26"/>
        <v>0</v>
      </c>
      <c r="R169">
        <v>0</v>
      </c>
      <c r="S169">
        <v>0</v>
      </c>
      <c r="T169">
        <v>0</v>
      </c>
      <c r="U169">
        <v>0</v>
      </c>
      <c r="V169">
        <v>30</v>
      </c>
    </row>
    <row r="170" spans="1:22" x14ac:dyDescent="0.3">
      <c r="A170" t="s">
        <v>203</v>
      </c>
      <c r="B170" t="s">
        <v>89</v>
      </c>
      <c r="C170">
        <v>19</v>
      </c>
      <c r="D170" t="s">
        <v>73</v>
      </c>
      <c r="E170" t="s">
        <v>41</v>
      </c>
      <c r="F170" t="s">
        <v>38</v>
      </c>
      <c r="G170">
        <f t="shared" si="20"/>
        <v>2</v>
      </c>
      <c r="H170">
        <v>680</v>
      </c>
      <c r="I170">
        <f t="shared" si="21"/>
        <v>1</v>
      </c>
      <c r="J170">
        <f t="shared" si="22"/>
        <v>1</v>
      </c>
      <c r="K170">
        <f t="shared" si="23"/>
        <v>0</v>
      </c>
      <c r="L170">
        <f t="shared" si="24"/>
        <v>1</v>
      </c>
      <c r="M170">
        <v>0</v>
      </c>
      <c r="N170">
        <v>0</v>
      </c>
      <c r="O170">
        <v>0</v>
      </c>
      <c r="P170">
        <f t="shared" si="25"/>
        <v>0</v>
      </c>
      <c r="Q170">
        <f t="shared" si="26"/>
        <v>0</v>
      </c>
      <c r="R170">
        <v>0</v>
      </c>
      <c r="S170">
        <v>0</v>
      </c>
      <c r="T170">
        <v>0</v>
      </c>
      <c r="U170">
        <v>0</v>
      </c>
      <c r="V170">
        <v>30</v>
      </c>
    </row>
    <row r="171" spans="1:22" x14ac:dyDescent="0.3">
      <c r="A171" t="s">
        <v>203</v>
      </c>
      <c r="B171" t="s">
        <v>216</v>
      </c>
      <c r="C171">
        <v>30</v>
      </c>
      <c r="D171" t="s">
        <v>30</v>
      </c>
      <c r="E171" t="s">
        <v>25</v>
      </c>
      <c r="F171" t="s">
        <v>38</v>
      </c>
      <c r="G171">
        <f t="shared" si="20"/>
        <v>2</v>
      </c>
      <c r="H171">
        <v>796</v>
      </c>
      <c r="I171">
        <f t="shared" si="21"/>
        <v>1</v>
      </c>
      <c r="J171">
        <f t="shared" si="22"/>
        <v>1</v>
      </c>
      <c r="K171">
        <f t="shared" si="23"/>
        <v>0</v>
      </c>
      <c r="L171">
        <f t="shared" si="24"/>
        <v>0</v>
      </c>
      <c r="M171">
        <v>0</v>
      </c>
      <c r="N171">
        <v>0</v>
      </c>
      <c r="O171">
        <v>0</v>
      </c>
      <c r="P171">
        <f t="shared" si="25"/>
        <v>0</v>
      </c>
      <c r="Q171">
        <f t="shared" si="26"/>
        <v>0</v>
      </c>
      <c r="R171">
        <v>0</v>
      </c>
      <c r="S171">
        <v>0</v>
      </c>
      <c r="T171">
        <v>0</v>
      </c>
      <c r="U171">
        <v>0</v>
      </c>
      <c r="V171">
        <v>30</v>
      </c>
    </row>
    <row r="172" spans="1:22" x14ac:dyDescent="0.3">
      <c r="A172" t="s">
        <v>203</v>
      </c>
      <c r="B172" t="s">
        <v>217</v>
      </c>
      <c r="C172">
        <v>27</v>
      </c>
      <c r="D172" t="s">
        <v>110</v>
      </c>
      <c r="E172" t="s">
        <v>28</v>
      </c>
      <c r="F172" t="s">
        <v>38</v>
      </c>
      <c r="G172">
        <f t="shared" si="20"/>
        <v>2</v>
      </c>
      <c r="H172">
        <v>806</v>
      </c>
      <c r="I172">
        <f t="shared" si="21"/>
        <v>0</v>
      </c>
      <c r="J172">
        <f t="shared" si="22"/>
        <v>0</v>
      </c>
      <c r="K172">
        <f t="shared" si="23"/>
        <v>0</v>
      </c>
      <c r="L172">
        <f t="shared" si="24"/>
        <v>0</v>
      </c>
      <c r="M172">
        <v>0</v>
      </c>
      <c r="N172">
        <v>0</v>
      </c>
      <c r="O172">
        <v>0</v>
      </c>
      <c r="P172">
        <f t="shared" si="25"/>
        <v>0</v>
      </c>
      <c r="Q172">
        <f t="shared" si="26"/>
        <v>0</v>
      </c>
      <c r="R172">
        <v>0</v>
      </c>
      <c r="S172">
        <v>0</v>
      </c>
      <c r="T172">
        <v>0</v>
      </c>
      <c r="U172">
        <v>0</v>
      </c>
      <c r="V172">
        <v>30</v>
      </c>
    </row>
    <row r="173" spans="1:22" x14ac:dyDescent="0.3">
      <c r="A173" t="s">
        <v>203</v>
      </c>
      <c r="B173" t="s">
        <v>218</v>
      </c>
      <c r="C173">
        <v>24</v>
      </c>
      <c r="D173" t="s">
        <v>73</v>
      </c>
      <c r="E173" t="s">
        <v>25</v>
      </c>
      <c r="F173" t="s">
        <v>38</v>
      </c>
      <c r="G173">
        <f t="shared" si="20"/>
        <v>2</v>
      </c>
      <c r="H173">
        <v>176</v>
      </c>
      <c r="I173">
        <f t="shared" si="21"/>
        <v>1</v>
      </c>
      <c r="J173">
        <f t="shared" si="22"/>
        <v>1</v>
      </c>
      <c r="K173">
        <f t="shared" si="23"/>
        <v>0</v>
      </c>
      <c r="L173">
        <f t="shared" si="24"/>
        <v>1</v>
      </c>
      <c r="M173">
        <v>0</v>
      </c>
      <c r="N173">
        <v>0</v>
      </c>
      <c r="O173">
        <v>0</v>
      </c>
      <c r="P173">
        <f t="shared" si="25"/>
        <v>0</v>
      </c>
      <c r="Q173">
        <f t="shared" si="26"/>
        <v>0</v>
      </c>
      <c r="R173">
        <v>0</v>
      </c>
      <c r="S173">
        <v>0</v>
      </c>
      <c r="T173">
        <v>0</v>
      </c>
      <c r="U173">
        <v>0</v>
      </c>
      <c r="V173">
        <v>30</v>
      </c>
    </row>
    <row r="174" spans="1:22" x14ac:dyDescent="0.3">
      <c r="A174" t="s">
        <v>203</v>
      </c>
      <c r="B174" t="s">
        <v>219</v>
      </c>
      <c r="C174">
        <v>30</v>
      </c>
      <c r="D174" t="s">
        <v>73</v>
      </c>
      <c r="E174" t="s">
        <v>34</v>
      </c>
      <c r="F174" t="s">
        <v>38</v>
      </c>
      <c r="G174">
        <f t="shared" si="20"/>
        <v>2</v>
      </c>
      <c r="H174">
        <v>303</v>
      </c>
      <c r="I174">
        <f t="shared" si="21"/>
        <v>1</v>
      </c>
      <c r="J174">
        <f t="shared" si="22"/>
        <v>1</v>
      </c>
      <c r="K174">
        <f t="shared" si="23"/>
        <v>0</v>
      </c>
      <c r="L174">
        <f t="shared" si="24"/>
        <v>1</v>
      </c>
      <c r="M174">
        <v>0</v>
      </c>
      <c r="N174">
        <v>0</v>
      </c>
      <c r="O174">
        <v>0</v>
      </c>
      <c r="P174">
        <f t="shared" si="25"/>
        <v>0</v>
      </c>
      <c r="Q174">
        <f t="shared" si="26"/>
        <v>0</v>
      </c>
      <c r="R174">
        <v>0</v>
      </c>
      <c r="S174">
        <v>0</v>
      </c>
      <c r="T174">
        <v>0</v>
      </c>
      <c r="U174">
        <v>0</v>
      </c>
      <c r="V174">
        <v>30</v>
      </c>
    </row>
    <row r="175" spans="1:22" x14ac:dyDescent="0.3">
      <c r="A175" t="s">
        <v>203</v>
      </c>
      <c r="B175" t="s">
        <v>220</v>
      </c>
      <c r="C175">
        <v>28</v>
      </c>
      <c r="D175" t="s">
        <v>73</v>
      </c>
      <c r="E175" t="s">
        <v>28</v>
      </c>
      <c r="F175" t="s">
        <v>38</v>
      </c>
      <c r="G175">
        <f t="shared" si="20"/>
        <v>2</v>
      </c>
      <c r="H175">
        <v>270</v>
      </c>
      <c r="I175">
        <f t="shared" si="21"/>
        <v>1</v>
      </c>
      <c r="J175">
        <f t="shared" si="22"/>
        <v>1</v>
      </c>
      <c r="K175">
        <f t="shared" si="23"/>
        <v>0</v>
      </c>
      <c r="L175">
        <f t="shared" si="24"/>
        <v>1</v>
      </c>
      <c r="M175">
        <v>0</v>
      </c>
      <c r="N175">
        <v>0</v>
      </c>
      <c r="O175">
        <v>0</v>
      </c>
      <c r="P175">
        <f t="shared" si="25"/>
        <v>0</v>
      </c>
      <c r="Q175">
        <f t="shared" si="26"/>
        <v>0</v>
      </c>
      <c r="R175">
        <v>0</v>
      </c>
      <c r="S175">
        <v>0</v>
      </c>
      <c r="T175">
        <v>0</v>
      </c>
      <c r="U175">
        <v>0</v>
      </c>
      <c r="V175">
        <v>30</v>
      </c>
    </row>
    <row r="176" spans="1:22" x14ac:dyDescent="0.3">
      <c r="A176" t="s">
        <v>203</v>
      </c>
      <c r="B176" t="s">
        <v>221</v>
      </c>
      <c r="C176">
        <v>26</v>
      </c>
      <c r="D176" t="s">
        <v>73</v>
      </c>
      <c r="E176" t="s">
        <v>34</v>
      </c>
      <c r="F176" t="s">
        <v>38</v>
      </c>
      <c r="G176">
        <f t="shared" si="20"/>
        <v>2</v>
      </c>
      <c r="H176">
        <v>113</v>
      </c>
      <c r="I176">
        <f t="shared" si="21"/>
        <v>1</v>
      </c>
      <c r="J176">
        <f t="shared" si="22"/>
        <v>1</v>
      </c>
      <c r="K176">
        <f t="shared" si="23"/>
        <v>0</v>
      </c>
      <c r="L176">
        <f t="shared" si="24"/>
        <v>1</v>
      </c>
      <c r="M176">
        <v>0</v>
      </c>
      <c r="N176">
        <v>0</v>
      </c>
      <c r="O176">
        <v>0</v>
      </c>
      <c r="P176">
        <f t="shared" si="25"/>
        <v>0</v>
      </c>
      <c r="Q176">
        <f t="shared" si="26"/>
        <v>0</v>
      </c>
      <c r="R176">
        <v>0</v>
      </c>
      <c r="S176">
        <v>0</v>
      </c>
      <c r="T176">
        <v>0</v>
      </c>
      <c r="U176">
        <v>0</v>
      </c>
      <c r="V176">
        <v>30</v>
      </c>
    </row>
    <row r="177" spans="1:22" x14ac:dyDescent="0.3">
      <c r="A177" t="s">
        <v>203</v>
      </c>
      <c r="B177" t="s">
        <v>222</v>
      </c>
      <c r="C177">
        <v>29</v>
      </c>
      <c r="D177" t="s">
        <v>54</v>
      </c>
      <c r="E177" t="s">
        <v>25</v>
      </c>
      <c r="F177" t="s">
        <v>38</v>
      </c>
      <c r="G177">
        <f t="shared" si="20"/>
        <v>2</v>
      </c>
      <c r="H177">
        <v>29</v>
      </c>
      <c r="I177">
        <f t="shared" si="21"/>
        <v>1</v>
      </c>
      <c r="J177">
        <f t="shared" si="22"/>
        <v>1</v>
      </c>
      <c r="K177">
        <f t="shared" si="23"/>
        <v>0</v>
      </c>
      <c r="L177">
        <f t="shared" si="24"/>
        <v>0</v>
      </c>
      <c r="M177">
        <v>0</v>
      </c>
      <c r="N177">
        <v>0</v>
      </c>
      <c r="O177">
        <v>0</v>
      </c>
      <c r="P177">
        <f t="shared" si="25"/>
        <v>0</v>
      </c>
      <c r="Q177">
        <f t="shared" si="26"/>
        <v>0</v>
      </c>
      <c r="R177">
        <v>0</v>
      </c>
      <c r="S177">
        <v>0</v>
      </c>
      <c r="T177">
        <v>0</v>
      </c>
      <c r="U177">
        <v>0</v>
      </c>
      <c r="V177">
        <v>30</v>
      </c>
    </row>
    <row r="178" spans="1:22" x14ac:dyDescent="0.3">
      <c r="A178" t="s">
        <v>203</v>
      </c>
      <c r="B178" t="s">
        <v>223</v>
      </c>
      <c r="C178">
        <v>29</v>
      </c>
      <c r="D178" t="s">
        <v>54</v>
      </c>
      <c r="E178" t="s">
        <v>31</v>
      </c>
      <c r="F178" t="s">
        <v>38</v>
      </c>
      <c r="G178">
        <f t="shared" si="20"/>
        <v>2</v>
      </c>
      <c r="H178">
        <v>0</v>
      </c>
      <c r="I178">
        <f t="shared" si="21"/>
        <v>1</v>
      </c>
      <c r="J178">
        <f t="shared" si="22"/>
        <v>1</v>
      </c>
      <c r="K178">
        <f t="shared" si="23"/>
        <v>0</v>
      </c>
      <c r="L178">
        <f t="shared" si="24"/>
        <v>0</v>
      </c>
      <c r="M178">
        <v>0</v>
      </c>
      <c r="N178">
        <v>0</v>
      </c>
      <c r="O178">
        <v>0</v>
      </c>
      <c r="P178">
        <f t="shared" si="25"/>
        <v>0</v>
      </c>
      <c r="Q178">
        <f t="shared" si="26"/>
        <v>0</v>
      </c>
      <c r="R178">
        <v>0</v>
      </c>
      <c r="S178">
        <v>0</v>
      </c>
      <c r="T178">
        <v>0</v>
      </c>
      <c r="U178">
        <v>0</v>
      </c>
      <c r="V178">
        <v>30</v>
      </c>
    </row>
    <row r="179" spans="1:22" x14ac:dyDescent="0.3">
      <c r="A179" t="s">
        <v>203</v>
      </c>
      <c r="B179" t="s">
        <v>224</v>
      </c>
      <c r="C179">
        <v>22</v>
      </c>
      <c r="D179" t="s">
        <v>73</v>
      </c>
      <c r="E179" t="s">
        <v>31</v>
      </c>
      <c r="F179" t="s">
        <v>38</v>
      </c>
      <c r="G179">
        <f t="shared" si="20"/>
        <v>2</v>
      </c>
      <c r="H179">
        <v>0</v>
      </c>
      <c r="I179">
        <f t="shared" si="21"/>
        <v>1</v>
      </c>
      <c r="J179">
        <f t="shared" si="22"/>
        <v>1</v>
      </c>
      <c r="K179">
        <f t="shared" si="23"/>
        <v>0</v>
      </c>
      <c r="L179">
        <f t="shared" si="24"/>
        <v>1</v>
      </c>
      <c r="M179">
        <v>0</v>
      </c>
      <c r="N179">
        <v>0</v>
      </c>
      <c r="O179">
        <v>0</v>
      </c>
      <c r="P179">
        <f t="shared" si="25"/>
        <v>0</v>
      </c>
      <c r="Q179">
        <f t="shared" si="26"/>
        <v>0</v>
      </c>
      <c r="R179">
        <v>0</v>
      </c>
      <c r="S179">
        <v>0</v>
      </c>
      <c r="T179">
        <v>0</v>
      </c>
      <c r="U179">
        <v>0</v>
      </c>
      <c r="V179">
        <v>30</v>
      </c>
    </row>
    <row r="180" spans="1:22" x14ac:dyDescent="0.3">
      <c r="A180" t="s">
        <v>203</v>
      </c>
      <c r="B180" t="s">
        <v>225</v>
      </c>
      <c r="C180">
        <v>29</v>
      </c>
      <c r="D180" t="s">
        <v>56</v>
      </c>
      <c r="E180" t="s">
        <v>31</v>
      </c>
      <c r="F180" t="s">
        <v>38</v>
      </c>
      <c r="G180">
        <f t="shared" si="20"/>
        <v>2</v>
      </c>
      <c r="H180">
        <v>0</v>
      </c>
      <c r="I180">
        <f t="shared" si="21"/>
        <v>1</v>
      </c>
      <c r="J180">
        <f t="shared" si="22"/>
        <v>1</v>
      </c>
      <c r="K180">
        <f t="shared" si="23"/>
        <v>0</v>
      </c>
      <c r="L180">
        <f t="shared" si="24"/>
        <v>1</v>
      </c>
      <c r="M180">
        <v>0</v>
      </c>
      <c r="N180">
        <v>0</v>
      </c>
      <c r="O180">
        <v>0</v>
      </c>
      <c r="P180">
        <f t="shared" si="25"/>
        <v>0</v>
      </c>
      <c r="Q180">
        <f t="shared" si="26"/>
        <v>0</v>
      </c>
      <c r="R180">
        <v>0</v>
      </c>
      <c r="S180">
        <v>0</v>
      </c>
      <c r="T180">
        <v>0</v>
      </c>
      <c r="U180">
        <v>0</v>
      </c>
      <c r="V180">
        <v>30</v>
      </c>
    </row>
    <row r="181" spans="1:22" x14ac:dyDescent="0.3">
      <c r="A181" t="s">
        <v>203</v>
      </c>
      <c r="B181" t="s">
        <v>226</v>
      </c>
      <c r="C181">
        <v>37</v>
      </c>
      <c r="D181" t="s">
        <v>30</v>
      </c>
      <c r="E181" t="s">
        <v>41</v>
      </c>
      <c r="F181" t="s">
        <v>38</v>
      </c>
      <c r="G181">
        <f t="shared" si="20"/>
        <v>2</v>
      </c>
      <c r="H181">
        <v>0</v>
      </c>
      <c r="I181">
        <f t="shared" si="21"/>
        <v>1</v>
      </c>
      <c r="J181">
        <f t="shared" si="22"/>
        <v>1</v>
      </c>
      <c r="K181">
        <f t="shared" si="23"/>
        <v>0</v>
      </c>
      <c r="L181">
        <f t="shared" si="24"/>
        <v>0</v>
      </c>
      <c r="M181">
        <v>0</v>
      </c>
      <c r="N181">
        <v>0</v>
      </c>
      <c r="O181">
        <v>0</v>
      </c>
      <c r="P181">
        <f t="shared" si="25"/>
        <v>0</v>
      </c>
      <c r="Q181">
        <f t="shared" si="26"/>
        <v>0</v>
      </c>
      <c r="R181">
        <v>0</v>
      </c>
      <c r="S181">
        <v>0</v>
      </c>
      <c r="T181">
        <v>0</v>
      </c>
      <c r="U181">
        <v>0</v>
      </c>
      <c r="V181">
        <v>30</v>
      </c>
    </row>
    <row r="182" spans="1:22" x14ac:dyDescent="0.3">
      <c r="A182" t="s">
        <v>203</v>
      </c>
      <c r="B182" t="s">
        <v>227</v>
      </c>
      <c r="C182">
        <v>28</v>
      </c>
      <c r="D182" t="s">
        <v>73</v>
      </c>
      <c r="E182" t="s">
        <v>31</v>
      </c>
      <c r="F182" t="s">
        <v>38</v>
      </c>
      <c r="G182">
        <f t="shared" si="20"/>
        <v>2</v>
      </c>
      <c r="H182">
        <v>0</v>
      </c>
      <c r="I182">
        <f t="shared" si="21"/>
        <v>1</v>
      </c>
      <c r="J182">
        <f t="shared" si="22"/>
        <v>1</v>
      </c>
      <c r="K182">
        <f t="shared" si="23"/>
        <v>0</v>
      </c>
      <c r="L182">
        <f t="shared" si="24"/>
        <v>1</v>
      </c>
      <c r="M182">
        <v>0</v>
      </c>
      <c r="N182">
        <v>0</v>
      </c>
      <c r="O182">
        <v>0</v>
      </c>
      <c r="P182">
        <f t="shared" si="25"/>
        <v>0</v>
      </c>
      <c r="Q182">
        <f t="shared" si="26"/>
        <v>0</v>
      </c>
      <c r="R182">
        <v>0</v>
      </c>
      <c r="S182">
        <v>0</v>
      </c>
      <c r="T182">
        <v>0</v>
      </c>
      <c r="U182">
        <v>0</v>
      </c>
      <c r="V182">
        <v>30</v>
      </c>
    </row>
    <row r="183" spans="1:22" x14ac:dyDescent="0.3">
      <c r="A183" t="s">
        <v>203</v>
      </c>
      <c r="B183" t="s">
        <v>228</v>
      </c>
      <c r="C183">
        <v>13</v>
      </c>
      <c r="D183" t="s">
        <v>24</v>
      </c>
      <c r="E183" t="s">
        <v>25</v>
      </c>
      <c r="F183" t="s">
        <v>60</v>
      </c>
      <c r="G183">
        <f t="shared" si="20"/>
        <v>1</v>
      </c>
      <c r="H183">
        <v>89</v>
      </c>
      <c r="I183">
        <f t="shared" si="21"/>
        <v>0</v>
      </c>
      <c r="J183">
        <f t="shared" si="22"/>
        <v>0</v>
      </c>
      <c r="K183">
        <f t="shared" si="23"/>
        <v>1</v>
      </c>
      <c r="L183">
        <f t="shared" si="24"/>
        <v>0</v>
      </c>
      <c r="M183">
        <v>0</v>
      </c>
      <c r="N183">
        <v>0</v>
      </c>
      <c r="O183">
        <v>0</v>
      </c>
      <c r="P183">
        <f t="shared" si="25"/>
        <v>0</v>
      </c>
      <c r="Q183">
        <f t="shared" si="26"/>
        <v>0</v>
      </c>
      <c r="R183">
        <v>0</v>
      </c>
      <c r="S183">
        <v>0</v>
      </c>
      <c r="T183">
        <v>0</v>
      </c>
      <c r="U183">
        <v>0</v>
      </c>
      <c r="V183">
        <v>30</v>
      </c>
    </row>
    <row r="184" spans="1:22" x14ac:dyDescent="0.3">
      <c r="A184" t="s">
        <v>203</v>
      </c>
      <c r="B184" t="s">
        <v>229</v>
      </c>
      <c r="C184">
        <v>14</v>
      </c>
      <c r="D184" t="s">
        <v>24</v>
      </c>
      <c r="E184" t="s">
        <v>28</v>
      </c>
      <c r="F184" t="s">
        <v>60</v>
      </c>
      <c r="G184">
        <f t="shared" si="20"/>
        <v>1</v>
      </c>
      <c r="H184">
        <v>130</v>
      </c>
      <c r="I184">
        <f t="shared" si="21"/>
        <v>0</v>
      </c>
      <c r="J184">
        <f t="shared" si="22"/>
        <v>0</v>
      </c>
      <c r="K184">
        <f t="shared" si="23"/>
        <v>1</v>
      </c>
      <c r="L184">
        <f t="shared" si="24"/>
        <v>0</v>
      </c>
      <c r="M184">
        <v>0</v>
      </c>
      <c r="N184">
        <v>0</v>
      </c>
      <c r="O184">
        <v>0</v>
      </c>
      <c r="P184">
        <f t="shared" si="25"/>
        <v>0</v>
      </c>
      <c r="Q184">
        <f t="shared" si="26"/>
        <v>1</v>
      </c>
      <c r="R184">
        <v>0</v>
      </c>
      <c r="S184">
        <v>0</v>
      </c>
      <c r="T184">
        <v>0</v>
      </c>
      <c r="U184">
        <v>0</v>
      </c>
      <c r="V184">
        <v>30</v>
      </c>
    </row>
    <row r="185" spans="1:22" x14ac:dyDescent="0.3">
      <c r="A185" t="s">
        <v>203</v>
      </c>
      <c r="B185" t="s">
        <v>230</v>
      </c>
      <c r="C185">
        <v>26</v>
      </c>
      <c r="D185" t="s">
        <v>24</v>
      </c>
      <c r="E185" t="s">
        <v>31</v>
      </c>
      <c r="F185" t="s">
        <v>60</v>
      </c>
      <c r="G185">
        <f t="shared" si="20"/>
        <v>1</v>
      </c>
      <c r="H185">
        <v>0</v>
      </c>
      <c r="I185">
        <f t="shared" si="21"/>
        <v>0</v>
      </c>
      <c r="J185">
        <f t="shared" si="22"/>
        <v>0</v>
      </c>
      <c r="K185">
        <f t="shared" si="23"/>
        <v>1</v>
      </c>
      <c r="L185">
        <f t="shared" si="24"/>
        <v>0</v>
      </c>
      <c r="M185">
        <v>0</v>
      </c>
      <c r="N185">
        <v>0</v>
      </c>
      <c r="O185">
        <v>0</v>
      </c>
      <c r="P185">
        <f t="shared" si="25"/>
        <v>0</v>
      </c>
      <c r="Q185">
        <f t="shared" si="26"/>
        <v>1</v>
      </c>
      <c r="R185">
        <v>0</v>
      </c>
      <c r="S185">
        <v>0</v>
      </c>
      <c r="T185">
        <v>0</v>
      </c>
      <c r="U185">
        <v>0</v>
      </c>
      <c r="V185">
        <v>30</v>
      </c>
    </row>
    <row r="186" spans="1:22" x14ac:dyDescent="0.3">
      <c r="A186" t="s">
        <v>203</v>
      </c>
      <c r="B186" t="s">
        <v>231</v>
      </c>
      <c r="C186">
        <v>11</v>
      </c>
      <c r="D186" t="s">
        <v>24</v>
      </c>
      <c r="E186" t="s">
        <v>28</v>
      </c>
      <c r="F186" t="s">
        <v>60</v>
      </c>
      <c r="G186">
        <f t="shared" si="20"/>
        <v>1</v>
      </c>
      <c r="H186">
        <v>66</v>
      </c>
      <c r="I186">
        <f t="shared" si="21"/>
        <v>0</v>
      </c>
      <c r="J186">
        <f t="shared" si="22"/>
        <v>0</v>
      </c>
      <c r="K186">
        <f t="shared" si="23"/>
        <v>1</v>
      </c>
      <c r="L186">
        <f t="shared" si="24"/>
        <v>0</v>
      </c>
      <c r="M186">
        <v>0</v>
      </c>
      <c r="N186">
        <v>0</v>
      </c>
      <c r="O186">
        <v>0</v>
      </c>
      <c r="P186">
        <f t="shared" si="25"/>
        <v>0</v>
      </c>
      <c r="Q186">
        <f t="shared" si="26"/>
        <v>1</v>
      </c>
      <c r="R186">
        <v>0</v>
      </c>
      <c r="S186">
        <v>0</v>
      </c>
      <c r="T186">
        <v>0</v>
      </c>
      <c r="U186">
        <v>0</v>
      </c>
      <c r="V186">
        <v>30</v>
      </c>
    </row>
    <row r="187" spans="1:22" x14ac:dyDescent="0.3">
      <c r="A187" t="s">
        <v>203</v>
      </c>
      <c r="B187" t="s">
        <v>232</v>
      </c>
      <c r="C187">
        <v>9</v>
      </c>
      <c r="D187" t="s">
        <v>24</v>
      </c>
      <c r="E187" t="s">
        <v>25</v>
      </c>
      <c r="F187" t="s">
        <v>60</v>
      </c>
      <c r="G187">
        <f t="shared" si="20"/>
        <v>1</v>
      </c>
      <c r="H187">
        <v>130</v>
      </c>
      <c r="I187">
        <f t="shared" si="21"/>
        <v>0</v>
      </c>
      <c r="J187">
        <f t="shared" si="22"/>
        <v>0</v>
      </c>
      <c r="K187">
        <f t="shared" si="23"/>
        <v>1</v>
      </c>
      <c r="L187">
        <f t="shared" si="24"/>
        <v>0</v>
      </c>
      <c r="M187">
        <v>0</v>
      </c>
      <c r="N187">
        <v>0</v>
      </c>
      <c r="O187">
        <v>0</v>
      </c>
      <c r="P187">
        <f t="shared" si="25"/>
        <v>0</v>
      </c>
      <c r="Q187">
        <f t="shared" si="26"/>
        <v>0</v>
      </c>
      <c r="R187">
        <v>0</v>
      </c>
      <c r="S187">
        <v>0</v>
      </c>
      <c r="T187">
        <v>0</v>
      </c>
      <c r="U187">
        <v>0</v>
      </c>
      <c r="V187">
        <v>30</v>
      </c>
    </row>
    <row r="188" spans="1:22" x14ac:dyDescent="0.3">
      <c r="A188" t="s">
        <v>203</v>
      </c>
      <c r="B188" t="s">
        <v>233</v>
      </c>
      <c r="C188">
        <v>14</v>
      </c>
      <c r="D188" t="s">
        <v>40</v>
      </c>
      <c r="E188" t="s">
        <v>41</v>
      </c>
      <c r="F188" t="s">
        <v>60</v>
      </c>
      <c r="G188">
        <f t="shared" si="20"/>
        <v>1</v>
      </c>
      <c r="H188">
        <v>0</v>
      </c>
      <c r="I188">
        <f t="shared" si="21"/>
        <v>0</v>
      </c>
      <c r="J188">
        <f t="shared" si="22"/>
        <v>0</v>
      </c>
      <c r="K188">
        <f t="shared" si="23"/>
        <v>0</v>
      </c>
      <c r="L188">
        <f t="shared" si="24"/>
        <v>0</v>
      </c>
      <c r="M188">
        <v>0</v>
      </c>
      <c r="N188">
        <v>0</v>
      </c>
      <c r="O188">
        <v>0</v>
      </c>
      <c r="P188">
        <f t="shared" si="25"/>
        <v>1</v>
      </c>
      <c r="Q188">
        <f t="shared" si="26"/>
        <v>0</v>
      </c>
      <c r="R188">
        <v>0</v>
      </c>
      <c r="S188">
        <v>0</v>
      </c>
      <c r="T188">
        <v>0</v>
      </c>
      <c r="U188">
        <v>0</v>
      </c>
      <c r="V188">
        <v>30</v>
      </c>
    </row>
    <row r="189" spans="1:22" x14ac:dyDescent="0.3">
      <c r="A189" t="s">
        <v>203</v>
      </c>
      <c r="B189" t="s">
        <v>234</v>
      </c>
      <c r="C189">
        <v>14</v>
      </c>
      <c r="D189" t="s">
        <v>40</v>
      </c>
      <c r="E189" t="s">
        <v>25</v>
      </c>
      <c r="F189" t="s">
        <v>60</v>
      </c>
      <c r="G189">
        <f t="shared" si="20"/>
        <v>1</v>
      </c>
      <c r="H189">
        <v>112</v>
      </c>
      <c r="I189">
        <f t="shared" si="21"/>
        <v>0</v>
      </c>
      <c r="J189">
        <f t="shared" si="22"/>
        <v>0</v>
      </c>
      <c r="K189">
        <f t="shared" si="23"/>
        <v>0</v>
      </c>
      <c r="L189">
        <f t="shared" si="24"/>
        <v>0</v>
      </c>
      <c r="M189">
        <v>0</v>
      </c>
      <c r="N189">
        <v>0</v>
      </c>
      <c r="O189">
        <v>0</v>
      </c>
      <c r="P189">
        <f t="shared" si="25"/>
        <v>1</v>
      </c>
      <c r="Q189">
        <f t="shared" si="26"/>
        <v>0</v>
      </c>
      <c r="R189">
        <v>0</v>
      </c>
      <c r="S189">
        <v>0</v>
      </c>
      <c r="T189">
        <v>0</v>
      </c>
      <c r="U189">
        <v>0</v>
      </c>
      <c r="V189">
        <v>30</v>
      </c>
    </row>
    <row r="190" spans="1:22" x14ac:dyDescent="0.3">
      <c r="A190" t="s">
        <v>203</v>
      </c>
      <c r="B190" t="s">
        <v>231</v>
      </c>
      <c r="C190">
        <v>11</v>
      </c>
      <c r="D190" t="s">
        <v>24</v>
      </c>
      <c r="E190" t="s">
        <v>28</v>
      </c>
      <c r="F190" t="s">
        <v>60</v>
      </c>
      <c r="G190">
        <f t="shared" si="20"/>
        <v>1</v>
      </c>
      <c r="H190">
        <v>66</v>
      </c>
      <c r="I190">
        <f t="shared" si="21"/>
        <v>0</v>
      </c>
      <c r="J190">
        <f t="shared" si="22"/>
        <v>0</v>
      </c>
      <c r="K190">
        <f t="shared" si="23"/>
        <v>1</v>
      </c>
      <c r="L190">
        <f t="shared" si="24"/>
        <v>0</v>
      </c>
      <c r="M190">
        <v>0</v>
      </c>
      <c r="N190">
        <v>0</v>
      </c>
      <c r="O190">
        <v>0</v>
      </c>
      <c r="P190">
        <f t="shared" si="25"/>
        <v>0</v>
      </c>
      <c r="Q190">
        <f t="shared" si="26"/>
        <v>1</v>
      </c>
      <c r="R190">
        <v>0</v>
      </c>
      <c r="S190">
        <v>0</v>
      </c>
      <c r="T190">
        <v>0</v>
      </c>
      <c r="U190">
        <v>0</v>
      </c>
      <c r="V190">
        <v>30</v>
      </c>
    </row>
    <row r="191" spans="1:22" x14ac:dyDescent="0.3">
      <c r="A191" t="s">
        <v>203</v>
      </c>
      <c r="B191" t="s">
        <v>235</v>
      </c>
      <c r="C191">
        <v>15</v>
      </c>
      <c r="D191" t="s">
        <v>40</v>
      </c>
      <c r="E191" t="s">
        <v>31</v>
      </c>
      <c r="F191" t="s">
        <v>60</v>
      </c>
      <c r="G191">
        <f t="shared" si="20"/>
        <v>1</v>
      </c>
      <c r="H191">
        <v>0</v>
      </c>
      <c r="I191">
        <f t="shared" si="21"/>
        <v>0</v>
      </c>
      <c r="J191">
        <f t="shared" si="22"/>
        <v>0</v>
      </c>
      <c r="K191">
        <f t="shared" si="23"/>
        <v>0</v>
      </c>
      <c r="L191">
        <f t="shared" si="24"/>
        <v>0</v>
      </c>
      <c r="M191">
        <v>0</v>
      </c>
      <c r="N191">
        <v>0</v>
      </c>
      <c r="O191">
        <v>0</v>
      </c>
      <c r="P191">
        <f t="shared" si="25"/>
        <v>1</v>
      </c>
      <c r="Q191">
        <f t="shared" si="26"/>
        <v>0</v>
      </c>
      <c r="R191">
        <v>0</v>
      </c>
      <c r="S191">
        <v>0</v>
      </c>
      <c r="T191">
        <v>0</v>
      </c>
      <c r="U191">
        <v>0</v>
      </c>
      <c r="V191">
        <v>30</v>
      </c>
    </row>
    <row r="192" spans="1:22" x14ac:dyDescent="0.3">
      <c r="A192" t="s">
        <v>203</v>
      </c>
      <c r="B192" t="s">
        <v>232</v>
      </c>
      <c r="C192">
        <v>9</v>
      </c>
      <c r="D192" t="s">
        <v>24</v>
      </c>
      <c r="E192" t="s">
        <v>25</v>
      </c>
      <c r="F192" t="s">
        <v>60</v>
      </c>
      <c r="G192">
        <f t="shared" si="20"/>
        <v>1</v>
      </c>
      <c r="H192">
        <v>130</v>
      </c>
      <c r="I192">
        <f t="shared" si="21"/>
        <v>0</v>
      </c>
      <c r="J192">
        <f t="shared" si="22"/>
        <v>0</v>
      </c>
      <c r="K192">
        <f t="shared" si="23"/>
        <v>1</v>
      </c>
      <c r="L192">
        <f t="shared" si="24"/>
        <v>0</v>
      </c>
      <c r="M192">
        <v>0</v>
      </c>
      <c r="N192">
        <v>0</v>
      </c>
      <c r="O192">
        <v>0</v>
      </c>
      <c r="P192">
        <f t="shared" si="25"/>
        <v>0</v>
      </c>
      <c r="Q192">
        <f t="shared" si="26"/>
        <v>0</v>
      </c>
      <c r="R192">
        <v>0</v>
      </c>
      <c r="S192">
        <v>0</v>
      </c>
      <c r="T192">
        <v>0</v>
      </c>
      <c r="U192">
        <v>0</v>
      </c>
      <c r="V192">
        <v>30</v>
      </c>
    </row>
    <row r="193" spans="1:22" x14ac:dyDescent="0.3">
      <c r="A193" t="s">
        <v>203</v>
      </c>
      <c r="B193" t="s">
        <v>236</v>
      </c>
      <c r="C193">
        <v>19</v>
      </c>
      <c r="D193" t="s">
        <v>43</v>
      </c>
      <c r="E193" t="s">
        <v>31</v>
      </c>
      <c r="F193" t="s">
        <v>60</v>
      </c>
      <c r="G193">
        <f t="shared" si="20"/>
        <v>1</v>
      </c>
      <c r="H193">
        <v>0</v>
      </c>
      <c r="I193">
        <f t="shared" si="21"/>
        <v>0</v>
      </c>
      <c r="J193">
        <f t="shared" si="22"/>
        <v>0</v>
      </c>
      <c r="K193">
        <f t="shared" si="23"/>
        <v>0</v>
      </c>
      <c r="L193">
        <f t="shared" si="24"/>
        <v>0</v>
      </c>
      <c r="M193">
        <v>0</v>
      </c>
      <c r="N193">
        <v>0</v>
      </c>
      <c r="O193">
        <v>0</v>
      </c>
      <c r="P193">
        <f t="shared" si="25"/>
        <v>1</v>
      </c>
      <c r="Q193">
        <f t="shared" si="26"/>
        <v>0</v>
      </c>
      <c r="R193">
        <v>0</v>
      </c>
      <c r="S193">
        <v>0</v>
      </c>
      <c r="T193">
        <v>0</v>
      </c>
      <c r="U193">
        <v>0</v>
      </c>
      <c r="V193">
        <v>30</v>
      </c>
    </row>
    <row r="194" spans="1:22" x14ac:dyDescent="0.3">
      <c r="A194" t="s">
        <v>203</v>
      </c>
      <c r="B194" t="s">
        <v>237</v>
      </c>
      <c r="C194">
        <v>17</v>
      </c>
      <c r="D194" t="s">
        <v>46</v>
      </c>
      <c r="E194" t="s">
        <v>31</v>
      </c>
      <c r="F194" t="s">
        <v>60</v>
      </c>
      <c r="G194">
        <f t="shared" ref="G194:G448" si="27">IF(F194="Normal",1,IF(F194="Impact",2,IF(F194="Star",3,IF(F194="Elite",4,0))))</f>
        <v>1</v>
      </c>
      <c r="H194">
        <v>0</v>
      </c>
      <c r="I194">
        <f t="shared" si="21"/>
        <v>0</v>
      </c>
      <c r="J194">
        <f t="shared" si="22"/>
        <v>0</v>
      </c>
      <c r="K194">
        <f t="shared" si="23"/>
        <v>0</v>
      </c>
      <c r="L194">
        <f t="shared" si="24"/>
        <v>0</v>
      </c>
      <c r="M194">
        <v>0</v>
      </c>
      <c r="N194">
        <v>0</v>
      </c>
      <c r="O194">
        <v>0</v>
      </c>
      <c r="P194">
        <f t="shared" si="25"/>
        <v>0</v>
      </c>
      <c r="Q194">
        <f t="shared" si="26"/>
        <v>0</v>
      </c>
      <c r="R194">
        <v>0</v>
      </c>
      <c r="S194">
        <v>0</v>
      </c>
      <c r="T194">
        <v>0</v>
      </c>
      <c r="U194">
        <v>0</v>
      </c>
      <c r="V194">
        <v>30</v>
      </c>
    </row>
    <row r="195" spans="1:22" x14ac:dyDescent="0.3">
      <c r="A195" t="s">
        <v>203</v>
      </c>
      <c r="B195" t="s">
        <v>238</v>
      </c>
      <c r="C195">
        <v>18</v>
      </c>
      <c r="D195" t="s">
        <v>46</v>
      </c>
      <c r="E195" t="s">
        <v>31</v>
      </c>
      <c r="F195" t="s">
        <v>60</v>
      </c>
      <c r="G195">
        <f t="shared" si="27"/>
        <v>1</v>
      </c>
      <c r="H195">
        <v>8</v>
      </c>
      <c r="I195">
        <f t="shared" si="21"/>
        <v>0</v>
      </c>
      <c r="J195">
        <f t="shared" si="22"/>
        <v>0</v>
      </c>
      <c r="K195">
        <f t="shared" si="23"/>
        <v>0</v>
      </c>
      <c r="L195">
        <f t="shared" si="24"/>
        <v>0</v>
      </c>
      <c r="M195">
        <v>0</v>
      </c>
      <c r="N195">
        <v>0</v>
      </c>
      <c r="O195">
        <v>0</v>
      </c>
      <c r="P195">
        <f t="shared" si="25"/>
        <v>0</v>
      </c>
      <c r="Q195">
        <f t="shared" si="26"/>
        <v>0</v>
      </c>
      <c r="R195">
        <v>0</v>
      </c>
      <c r="S195">
        <v>0</v>
      </c>
      <c r="T195">
        <v>0</v>
      </c>
      <c r="U195">
        <v>0</v>
      </c>
      <c r="V195">
        <v>30</v>
      </c>
    </row>
    <row r="196" spans="1:22" x14ac:dyDescent="0.3">
      <c r="A196" t="s">
        <v>203</v>
      </c>
      <c r="B196" t="s">
        <v>239</v>
      </c>
      <c r="C196">
        <v>19</v>
      </c>
      <c r="D196" t="s">
        <v>46</v>
      </c>
      <c r="E196" t="s">
        <v>31</v>
      </c>
      <c r="F196" t="s">
        <v>60</v>
      </c>
      <c r="G196">
        <f t="shared" si="27"/>
        <v>1</v>
      </c>
      <c r="H196">
        <v>0</v>
      </c>
      <c r="I196">
        <f t="shared" si="21"/>
        <v>0</v>
      </c>
      <c r="J196">
        <f t="shared" si="22"/>
        <v>0</v>
      </c>
      <c r="K196">
        <f t="shared" si="23"/>
        <v>0</v>
      </c>
      <c r="L196">
        <f t="shared" si="24"/>
        <v>0</v>
      </c>
      <c r="M196">
        <v>0</v>
      </c>
      <c r="N196">
        <v>0</v>
      </c>
      <c r="O196">
        <v>0</v>
      </c>
      <c r="P196">
        <f t="shared" si="25"/>
        <v>0</v>
      </c>
      <c r="Q196">
        <f t="shared" si="26"/>
        <v>0</v>
      </c>
      <c r="R196">
        <v>0</v>
      </c>
      <c r="S196">
        <v>0</v>
      </c>
      <c r="T196">
        <v>0</v>
      </c>
      <c r="U196">
        <v>0</v>
      </c>
      <c r="V196">
        <v>30</v>
      </c>
    </row>
    <row r="197" spans="1:22" x14ac:dyDescent="0.3">
      <c r="A197" t="s">
        <v>203</v>
      </c>
      <c r="B197" t="s">
        <v>240</v>
      </c>
      <c r="C197">
        <v>17</v>
      </c>
      <c r="D197" t="s">
        <v>46</v>
      </c>
      <c r="E197" t="s">
        <v>37</v>
      </c>
      <c r="F197" t="s">
        <v>60</v>
      </c>
      <c r="G197">
        <f t="shared" si="27"/>
        <v>1</v>
      </c>
      <c r="H197">
        <v>124</v>
      </c>
      <c r="I197">
        <f t="shared" si="21"/>
        <v>0</v>
      </c>
      <c r="J197">
        <f t="shared" si="22"/>
        <v>0</v>
      </c>
      <c r="K197">
        <f t="shared" si="23"/>
        <v>0</v>
      </c>
      <c r="L197">
        <f t="shared" si="24"/>
        <v>0</v>
      </c>
      <c r="M197">
        <v>0</v>
      </c>
      <c r="N197">
        <v>0</v>
      </c>
      <c r="O197">
        <v>0</v>
      </c>
      <c r="P197">
        <f t="shared" si="25"/>
        <v>0</v>
      </c>
      <c r="Q197">
        <f t="shared" si="26"/>
        <v>0</v>
      </c>
      <c r="R197">
        <v>0</v>
      </c>
      <c r="S197">
        <v>0</v>
      </c>
      <c r="T197">
        <v>0</v>
      </c>
      <c r="U197">
        <v>0</v>
      </c>
      <c r="V197">
        <v>30</v>
      </c>
    </row>
    <row r="198" spans="1:22" x14ac:dyDescent="0.3">
      <c r="A198" t="s">
        <v>203</v>
      </c>
      <c r="B198" t="s">
        <v>241</v>
      </c>
      <c r="C198">
        <v>15</v>
      </c>
      <c r="D198" t="s">
        <v>46</v>
      </c>
      <c r="E198" t="s">
        <v>37</v>
      </c>
      <c r="F198" t="s">
        <v>60</v>
      </c>
      <c r="G198">
        <f t="shared" si="27"/>
        <v>1</v>
      </c>
      <c r="H198">
        <v>0</v>
      </c>
      <c r="I198">
        <f t="shared" si="21"/>
        <v>0</v>
      </c>
      <c r="J198">
        <f t="shared" si="22"/>
        <v>0</v>
      </c>
      <c r="K198">
        <f t="shared" si="23"/>
        <v>0</v>
      </c>
      <c r="L198">
        <f t="shared" si="24"/>
        <v>0</v>
      </c>
      <c r="M198">
        <v>0</v>
      </c>
      <c r="N198">
        <v>0</v>
      </c>
      <c r="O198">
        <v>0</v>
      </c>
      <c r="P198">
        <f t="shared" si="25"/>
        <v>0</v>
      </c>
      <c r="Q198">
        <f t="shared" si="26"/>
        <v>0</v>
      </c>
      <c r="R198">
        <v>0</v>
      </c>
      <c r="S198">
        <v>0</v>
      </c>
      <c r="T198">
        <v>0</v>
      </c>
      <c r="U198">
        <v>0</v>
      </c>
      <c r="V198">
        <v>30</v>
      </c>
    </row>
    <row r="199" spans="1:22" x14ac:dyDescent="0.3">
      <c r="A199" t="s">
        <v>203</v>
      </c>
      <c r="B199" t="s">
        <v>242</v>
      </c>
      <c r="C199">
        <v>16</v>
      </c>
      <c r="D199" t="s">
        <v>46</v>
      </c>
      <c r="E199" t="s">
        <v>41</v>
      </c>
      <c r="F199" t="s">
        <v>60</v>
      </c>
      <c r="G199">
        <f t="shared" si="27"/>
        <v>1</v>
      </c>
      <c r="H199">
        <v>1</v>
      </c>
      <c r="I199">
        <f t="shared" si="21"/>
        <v>0</v>
      </c>
      <c r="J199">
        <f t="shared" si="22"/>
        <v>0</v>
      </c>
      <c r="K199">
        <f t="shared" si="23"/>
        <v>0</v>
      </c>
      <c r="L199">
        <f t="shared" si="24"/>
        <v>0</v>
      </c>
      <c r="M199">
        <v>0</v>
      </c>
      <c r="N199">
        <v>0</v>
      </c>
      <c r="O199">
        <v>0</v>
      </c>
      <c r="P199">
        <f t="shared" si="25"/>
        <v>0</v>
      </c>
      <c r="Q199">
        <f t="shared" si="26"/>
        <v>0</v>
      </c>
      <c r="R199">
        <v>0</v>
      </c>
      <c r="S199">
        <v>0</v>
      </c>
      <c r="T199">
        <v>0</v>
      </c>
      <c r="U199">
        <v>0</v>
      </c>
      <c r="V199">
        <v>30</v>
      </c>
    </row>
    <row r="200" spans="1:22" x14ac:dyDescent="0.3">
      <c r="A200" t="s">
        <v>203</v>
      </c>
      <c r="B200" t="s">
        <v>243</v>
      </c>
      <c r="C200">
        <v>16</v>
      </c>
      <c r="D200" t="s">
        <v>54</v>
      </c>
      <c r="E200" t="s">
        <v>41</v>
      </c>
      <c r="F200" t="s">
        <v>60</v>
      </c>
      <c r="G200">
        <f t="shared" si="27"/>
        <v>1</v>
      </c>
      <c r="H200">
        <v>648</v>
      </c>
      <c r="I200">
        <f t="shared" si="21"/>
        <v>1</v>
      </c>
      <c r="J200">
        <f t="shared" si="22"/>
        <v>1</v>
      </c>
      <c r="K200">
        <f t="shared" si="23"/>
        <v>0</v>
      </c>
      <c r="L200">
        <f t="shared" si="24"/>
        <v>0</v>
      </c>
      <c r="M200">
        <v>0</v>
      </c>
      <c r="N200">
        <v>0</v>
      </c>
      <c r="O200">
        <v>0</v>
      </c>
      <c r="P200">
        <f t="shared" si="25"/>
        <v>0</v>
      </c>
      <c r="Q200">
        <f t="shared" si="26"/>
        <v>0</v>
      </c>
      <c r="R200">
        <v>0</v>
      </c>
      <c r="S200">
        <v>0</v>
      </c>
      <c r="T200">
        <v>0</v>
      </c>
      <c r="U200">
        <v>0</v>
      </c>
      <c r="V200">
        <v>30</v>
      </c>
    </row>
    <row r="201" spans="1:22" x14ac:dyDescent="0.3">
      <c r="A201" t="s">
        <v>203</v>
      </c>
      <c r="B201" t="s">
        <v>244</v>
      </c>
      <c r="C201">
        <v>15</v>
      </c>
      <c r="D201" t="s">
        <v>56</v>
      </c>
      <c r="E201" t="s">
        <v>25</v>
      </c>
      <c r="F201" t="s">
        <v>60</v>
      </c>
      <c r="G201">
        <f t="shared" si="27"/>
        <v>1</v>
      </c>
      <c r="H201">
        <v>563</v>
      </c>
      <c r="I201">
        <f t="shared" si="21"/>
        <v>1</v>
      </c>
      <c r="J201">
        <f t="shared" si="22"/>
        <v>1</v>
      </c>
      <c r="K201">
        <f t="shared" si="23"/>
        <v>0</v>
      </c>
      <c r="L201">
        <f t="shared" si="24"/>
        <v>1</v>
      </c>
      <c r="M201">
        <v>0</v>
      </c>
      <c r="N201">
        <v>0</v>
      </c>
      <c r="O201">
        <v>0</v>
      </c>
      <c r="P201">
        <f t="shared" si="25"/>
        <v>0</v>
      </c>
      <c r="Q201">
        <f t="shared" si="26"/>
        <v>0</v>
      </c>
      <c r="R201">
        <v>0</v>
      </c>
      <c r="S201">
        <v>0</v>
      </c>
      <c r="T201">
        <v>0</v>
      </c>
      <c r="U201">
        <v>0</v>
      </c>
      <c r="V201">
        <v>30</v>
      </c>
    </row>
    <row r="202" spans="1:22" x14ac:dyDescent="0.3">
      <c r="A202" t="s">
        <v>203</v>
      </c>
      <c r="B202" t="s">
        <v>245</v>
      </c>
      <c r="C202">
        <v>15</v>
      </c>
      <c r="D202" t="s">
        <v>56</v>
      </c>
      <c r="E202" t="s">
        <v>37</v>
      </c>
      <c r="F202" t="s">
        <v>60</v>
      </c>
      <c r="G202">
        <f t="shared" si="27"/>
        <v>1</v>
      </c>
      <c r="H202">
        <v>349</v>
      </c>
      <c r="I202">
        <f t="shared" si="21"/>
        <v>1</v>
      </c>
      <c r="J202">
        <f t="shared" si="22"/>
        <v>1</v>
      </c>
      <c r="K202">
        <f t="shared" si="23"/>
        <v>0</v>
      </c>
      <c r="L202">
        <f t="shared" si="24"/>
        <v>1</v>
      </c>
      <c r="M202">
        <v>0</v>
      </c>
      <c r="N202">
        <v>0</v>
      </c>
      <c r="O202">
        <v>0</v>
      </c>
      <c r="P202">
        <f t="shared" si="25"/>
        <v>0</v>
      </c>
      <c r="Q202">
        <f t="shared" si="26"/>
        <v>0</v>
      </c>
      <c r="R202">
        <v>0</v>
      </c>
      <c r="S202">
        <v>0</v>
      </c>
      <c r="T202">
        <v>0</v>
      </c>
      <c r="U202">
        <v>0</v>
      </c>
      <c r="V202">
        <v>30</v>
      </c>
    </row>
    <row r="203" spans="1:22" x14ac:dyDescent="0.3">
      <c r="A203" t="s">
        <v>203</v>
      </c>
      <c r="B203" t="s">
        <v>246</v>
      </c>
      <c r="C203">
        <v>17</v>
      </c>
      <c r="D203" t="s">
        <v>54</v>
      </c>
      <c r="E203" t="s">
        <v>25</v>
      </c>
      <c r="F203" t="s">
        <v>60</v>
      </c>
      <c r="G203">
        <f t="shared" si="27"/>
        <v>1</v>
      </c>
      <c r="H203">
        <v>299</v>
      </c>
      <c r="I203">
        <f t="shared" si="21"/>
        <v>1</v>
      </c>
      <c r="J203">
        <f t="shared" si="22"/>
        <v>1</v>
      </c>
      <c r="K203">
        <f t="shared" si="23"/>
        <v>0</v>
      </c>
      <c r="L203">
        <f t="shared" si="24"/>
        <v>0</v>
      </c>
      <c r="M203">
        <v>0</v>
      </c>
      <c r="N203">
        <v>0</v>
      </c>
      <c r="O203">
        <v>0</v>
      </c>
      <c r="P203">
        <f t="shared" si="25"/>
        <v>0</v>
      </c>
      <c r="Q203">
        <f t="shared" si="26"/>
        <v>0</v>
      </c>
      <c r="R203">
        <v>0</v>
      </c>
      <c r="S203">
        <v>0</v>
      </c>
      <c r="T203">
        <v>0</v>
      </c>
      <c r="U203">
        <v>0</v>
      </c>
      <c r="V203">
        <v>30</v>
      </c>
    </row>
    <row r="204" spans="1:22" x14ac:dyDescent="0.3">
      <c r="A204" t="s">
        <v>203</v>
      </c>
      <c r="B204" t="s">
        <v>247</v>
      </c>
      <c r="C204">
        <v>16</v>
      </c>
      <c r="D204" t="s">
        <v>30</v>
      </c>
      <c r="E204" t="s">
        <v>41</v>
      </c>
      <c r="F204" t="s">
        <v>60</v>
      </c>
      <c r="G204">
        <f t="shared" si="27"/>
        <v>1</v>
      </c>
      <c r="H204">
        <v>0</v>
      </c>
      <c r="I204">
        <f t="shared" si="21"/>
        <v>1</v>
      </c>
      <c r="J204">
        <f t="shared" si="22"/>
        <v>1</v>
      </c>
      <c r="K204">
        <f t="shared" si="23"/>
        <v>0</v>
      </c>
      <c r="L204">
        <f t="shared" si="24"/>
        <v>0</v>
      </c>
      <c r="M204">
        <v>0</v>
      </c>
      <c r="N204">
        <v>0</v>
      </c>
      <c r="O204">
        <v>0</v>
      </c>
      <c r="P204">
        <f t="shared" si="25"/>
        <v>0</v>
      </c>
      <c r="Q204">
        <f t="shared" si="26"/>
        <v>0</v>
      </c>
      <c r="R204">
        <v>0</v>
      </c>
      <c r="S204">
        <v>0</v>
      </c>
      <c r="T204">
        <v>0</v>
      </c>
      <c r="U204">
        <v>0</v>
      </c>
      <c r="V204">
        <v>30</v>
      </c>
    </row>
    <row r="205" spans="1:22" x14ac:dyDescent="0.3">
      <c r="A205" t="s">
        <v>203</v>
      </c>
      <c r="B205" t="s">
        <v>248</v>
      </c>
      <c r="C205">
        <v>17</v>
      </c>
      <c r="D205" t="s">
        <v>56</v>
      </c>
      <c r="E205" t="s">
        <v>34</v>
      </c>
      <c r="F205" t="s">
        <v>60</v>
      </c>
      <c r="G205">
        <f t="shared" si="27"/>
        <v>1</v>
      </c>
      <c r="H205">
        <v>0</v>
      </c>
      <c r="I205">
        <f t="shared" si="21"/>
        <v>1</v>
      </c>
      <c r="J205">
        <f t="shared" si="22"/>
        <v>1</v>
      </c>
      <c r="K205">
        <f t="shared" si="23"/>
        <v>0</v>
      </c>
      <c r="L205">
        <f t="shared" si="24"/>
        <v>1</v>
      </c>
      <c r="M205">
        <v>0</v>
      </c>
      <c r="N205">
        <v>0</v>
      </c>
      <c r="O205">
        <v>0</v>
      </c>
      <c r="P205">
        <f t="shared" si="25"/>
        <v>0</v>
      </c>
      <c r="Q205">
        <f t="shared" si="26"/>
        <v>0</v>
      </c>
      <c r="R205">
        <v>0</v>
      </c>
      <c r="S205">
        <v>0</v>
      </c>
      <c r="T205">
        <v>0</v>
      </c>
      <c r="U205">
        <v>0</v>
      </c>
      <c r="V205">
        <v>30</v>
      </c>
    </row>
    <row r="206" spans="1:22" x14ac:dyDescent="0.3">
      <c r="A206" t="s">
        <v>203</v>
      </c>
      <c r="B206" t="s">
        <v>249</v>
      </c>
      <c r="C206">
        <v>18</v>
      </c>
      <c r="D206" t="s">
        <v>54</v>
      </c>
      <c r="E206" t="s">
        <v>31</v>
      </c>
      <c r="F206" t="s">
        <v>60</v>
      </c>
      <c r="G206">
        <f t="shared" si="27"/>
        <v>1</v>
      </c>
      <c r="H206">
        <v>0</v>
      </c>
      <c r="I206">
        <f t="shared" si="21"/>
        <v>1</v>
      </c>
      <c r="J206">
        <f t="shared" si="22"/>
        <v>1</v>
      </c>
      <c r="K206">
        <f t="shared" si="23"/>
        <v>0</v>
      </c>
      <c r="L206">
        <f t="shared" si="24"/>
        <v>0</v>
      </c>
      <c r="M206">
        <v>0</v>
      </c>
      <c r="N206">
        <v>0</v>
      </c>
      <c r="O206">
        <v>0</v>
      </c>
      <c r="P206">
        <f t="shared" si="25"/>
        <v>0</v>
      </c>
      <c r="Q206">
        <f t="shared" si="26"/>
        <v>0</v>
      </c>
      <c r="R206">
        <v>0</v>
      </c>
      <c r="S206">
        <v>0</v>
      </c>
      <c r="T206">
        <v>0</v>
      </c>
      <c r="U206">
        <v>0</v>
      </c>
      <c r="V206">
        <v>30</v>
      </c>
    </row>
    <row r="207" spans="1:22" x14ac:dyDescent="0.3">
      <c r="A207" t="s">
        <v>203</v>
      </c>
      <c r="B207" t="s">
        <v>250</v>
      </c>
      <c r="C207">
        <v>15</v>
      </c>
      <c r="D207" t="s">
        <v>56</v>
      </c>
      <c r="E207" t="s">
        <v>37</v>
      </c>
      <c r="F207" t="s">
        <v>60</v>
      </c>
      <c r="G207">
        <f t="shared" si="27"/>
        <v>1</v>
      </c>
      <c r="H207">
        <v>0</v>
      </c>
      <c r="I207">
        <f t="shared" si="21"/>
        <v>1</v>
      </c>
      <c r="J207">
        <f t="shared" si="22"/>
        <v>1</v>
      </c>
      <c r="K207">
        <f t="shared" si="23"/>
        <v>0</v>
      </c>
      <c r="L207">
        <f t="shared" si="24"/>
        <v>1</v>
      </c>
      <c r="M207">
        <v>0</v>
      </c>
      <c r="N207">
        <v>0</v>
      </c>
      <c r="O207">
        <v>0</v>
      </c>
      <c r="P207">
        <f t="shared" si="25"/>
        <v>0</v>
      </c>
      <c r="Q207">
        <f t="shared" si="26"/>
        <v>0</v>
      </c>
      <c r="R207">
        <v>0</v>
      </c>
      <c r="S207">
        <v>0</v>
      </c>
      <c r="T207">
        <v>0</v>
      </c>
      <c r="U207">
        <v>0</v>
      </c>
      <c r="V207">
        <v>30</v>
      </c>
    </row>
    <row r="208" spans="1:22" x14ac:dyDescent="0.3">
      <c r="A208" t="s">
        <v>251</v>
      </c>
      <c r="B208" t="s">
        <v>252</v>
      </c>
      <c r="C208">
        <v>43</v>
      </c>
      <c r="D208" t="s">
        <v>36</v>
      </c>
      <c r="E208" t="s">
        <v>41</v>
      </c>
      <c r="F208" t="s">
        <v>65</v>
      </c>
      <c r="G208">
        <f t="shared" si="27"/>
        <v>3</v>
      </c>
      <c r="H208">
        <v>987</v>
      </c>
      <c r="I208">
        <f>IF(OR(D208="QB", D208="RB", D208="WR", D208="TE", D208="DL", D208="LB", D208="CB", D208="S"), 1, 0)</f>
        <v>1</v>
      </c>
      <c r="J208">
        <v>0</v>
      </c>
      <c r="K208">
        <f>IF(OR(D208="QB", D208="RB"), 1, 0)</f>
        <v>1</v>
      </c>
      <c r="L208">
        <f>IF(OR(D208="LB", D208="CB", D208="S"), 1, 0)</f>
        <v>0</v>
      </c>
      <c r="M208">
        <v>0</v>
      </c>
      <c r="N208">
        <v>0</v>
      </c>
      <c r="O208">
        <v>0</v>
      </c>
      <c r="P208">
        <f>IF(D208="RB", 1, 0)</f>
        <v>0</v>
      </c>
      <c r="Q208">
        <f>IF(AND(OR(D208="QB"),OR(E208="FR",E208="SO",E208="FR (RS)",E208="SO (RS)")),1,0)</f>
        <v>1</v>
      </c>
      <c r="R208">
        <v>0</v>
      </c>
      <c r="S208">
        <f>IF(OR(D208="LB",D208="S",D208="CB"),1,0)</f>
        <v>0</v>
      </c>
      <c r="T208">
        <f>IF(AND(OR(D208="LB",D208="S",D208="CB"),OR(E208="FR",E208="SO",E208="FR (RS)",E208="SO (RS)")),1,0)</f>
        <v>0</v>
      </c>
      <c r="U208">
        <f>IF(AND(OR(D208="S",D208="CB"),H208&gt;300),1,0)</f>
        <v>0</v>
      </c>
      <c r="V208">
        <v>40</v>
      </c>
    </row>
    <row r="209" spans="1:22" x14ac:dyDescent="0.3">
      <c r="A209" t="s">
        <v>251</v>
      </c>
      <c r="B209" t="s">
        <v>253</v>
      </c>
      <c r="C209">
        <v>19</v>
      </c>
      <c r="D209" t="s">
        <v>36</v>
      </c>
      <c r="E209" t="s">
        <v>34</v>
      </c>
      <c r="F209" t="s">
        <v>60</v>
      </c>
      <c r="G209">
        <f t="shared" si="27"/>
        <v>1</v>
      </c>
      <c r="H209">
        <v>0</v>
      </c>
      <c r="I209">
        <f t="shared" ref="I209:I271" si="28">IF(OR(D209="QB", D209="RB", D209="WR", D209="TE", D209="DL", D209="LB", D209="CB", D209="S"), 1, 0)</f>
        <v>1</v>
      </c>
      <c r="J209">
        <v>0</v>
      </c>
      <c r="K209">
        <f t="shared" ref="K209:K271" si="29">IF(OR(D209="QB", D209="RB"), 1, 0)</f>
        <v>1</v>
      </c>
      <c r="L209">
        <f t="shared" ref="L209:L271" si="30">IF(OR(D209="LB", D209="CB", D209="S"), 1, 0)</f>
        <v>0</v>
      </c>
      <c r="M209">
        <v>0</v>
      </c>
      <c r="N209">
        <v>0</v>
      </c>
      <c r="O209">
        <v>0</v>
      </c>
      <c r="P209">
        <f t="shared" ref="P209:P271" si="31">IF(D209="RB", 1, 0)</f>
        <v>0</v>
      </c>
      <c r="Q209">
        <f t="shared" ref="Q209:Q271" si="32">IF(AND(OR(D209="QB"),OR(E209="FR",E209="SO",E209="FR (RS)",E209="SO (RS)")),1,0)</f>
        <v>1</v>
      </c>
      <c r="R209">
        <v>0</v>
      </c>
      <c r="S209">
        <f t="shared" ref="S209:S271" si="33">IF(OR(D209="LB",D209="S",D209="CB"),1,0)</f>
        <v>0</v>
      </c>
      <c r="T209">
        <f t="shared" ref="T209:T271" si="34">IF(AND(OR(D209="LB",D209="S",D209="CB"),OR(E209="FR",E209="SO",E209="FR (RS)",E209="SO (RS)")),1,0)</f>
        <v>0</v>
      </c>
      <c r="U209">
        <f t="shared" ref="U209:U271" si="35">IF(AND(OR(D209="S",D209="CB"),H209&gt;300),1,0)</f>
        <v>0</v>
      </c>
      <c r="V209">
        <v>40</v>
      </c>
    </row>
    <row r="210" spans="1:22" x14ac:dyDescent="0.3">
      <c r="A210" t="s">
        <v>251</v>
      </c>
      <c r="B210" t="s">
        <v>254</v>
      </c>
      <c r="C210">
        <v>29</v>
      </c>
      <c r="D210" t="s">
        <v>36</v>
      </c>
      <c r="E210" t="s">
        <v>34</v>
      </c>
      <c r="F210" t="s">
        <v>38</v>
      </c>
      <c r="G210">
        <f t="shared" si="27"/>
        <v>2</v>
      </c>
      <c r="H210">
        <v>0</v>
      </c>
      <c r="I210">
        <f t="shared" si="28"/>
        <v>1</v>
      </c>
      <c r="J210">
        <v>0</v>
      </c>
      <c r="K210">
        <f t="shared" si="29"/>
        <v>1</v>
      </c>
      <c r="L210">
        <f t="shared" si="30"/>
        <v>0</v>
      </c>
      <c r="M210">
        <v>0</v>
      </c>
      <c r="N210">
        <v>0</v>
      </c>
      <c r="O210">
        <v>0</v>
      </c>
      <c r="P210">
        <f t="shared" si="31"/>
        <v>0</v>
      </c>
      <c r="Q210">
        <f t="shared" si="32"/>
        <v>1</v>
      </c>
      <c r="R210">
        <v>0</v>
      </c>
      <c r="S210">
        <f t="shared" si="33"/>
        <v>0</v>
      </c>
      <c r="T210">
        <f t="shared" si="34"/>
        <v>0</v>
      </c>
      <c r="U210">
        <f t="shared" si="35"/>
        <v>0</v>
      </c>
      <c r="V210">
        <v>40</v>
      </c>
    </row>
    <row r="211" spans="1:22" x14ac:dyDescent="0.3">
      <c r="A211" t="s">
        <v>251</v>
      </c>
      <c r="B211" t="s">
        <v>255</v>
      </c>
      <c r="C211">
        <v>18</v>
      </c>
      <c r="D211" t="s">
        <v>36</v>
      </c>
      <c r="E211" t="s">
        <v>41</v>
      </c>
      <c r="F211" t="s">
        <v>60</v>
      </c>
      <c r="G211">
        <f t="shared" si="27"/>
        <v>1</v>
      </c>
      <c r="H211">
        <v>0</v>
      </c>
      <c r="I211">
        <f t="shared" si="28"/>
        <v>1</v>
      </c>
      <c r="J211">
        <v>0</v>
      </c>
      <c r="K211">
        <f t="shared" si="29"/>
        <v>1</v>
      </c>
      <c r="L211">
        <f t="shared" si="30"/>
        <v>0</v>
      </c>
      <c r="M211">
        <v>0</v>
      </c>
      <c r="N211">
        <v>0</v>
      </c>
      <c r="O211">
        <v>0</v>
      </c>
      <c r="P211">
        <f t="shared" si="31"/>
        <v>0</v>
      </c>
      <c r="Q211">
        <f t="shared" si="32"/>
        <v>1</v>
      </c>
      <c r="R211">
        <v>0</v>
      </c>
      <c r="S211">
        <f t="shared" si="33"/>
        <v>0</v>
      </c>
      <c r="T211">
        <f t="shared" si="34"/>
        <v>0</v>
      </c>
      <c r="U211">
        <f t="shared" si="35"/>
        <v>0</v>
      </c>
      <c r="V211">
        <v>40</v>
      </c>
    </row>
    <row r="212" spans="1:22" x14ac:dyDescent="0.3">
      <c r="A212" t="s">
        <v>251</v>
      </c>
      <c r="B212" t="s">
        <v>256</v>
      </c>
      <c r="C212">
        <v>22</v>
      </c>
      <c r="D212" t="s">
        <v>24</v>
      </c>
      <c r="E212" t="s">
        <v>25</v>
      </c>
      <c r="F212" t="s">
        <v>38</v>
      </c>
      <c r="G212">
        <f t="shared" si="27"/>
        <v>2</v>
      </c>
      <c r="H212">
        <v>29</v>
      </c>
      <c r="I212">
        <f t="shared" si="28"/>
        <v>1</v>
      </c>
      <c r="J212">
        <v>0</v>
      </c>
      <c r="K212">
        <f t="shared" si="29"/>
        <v>1</v>
      </c>
      <c r="L212">
        <f t="shared" si="30"/>
        <v>0</v>
      </c>
      <c r="M212">
        <v>0</v>
      </c>
      <c r="N212">
        <v>0</v>
      </c>
      <c r="O212">
        <v>0</v>
      </c>
      <c r="P212">
        <f t="shared" si="31"/>
        <v>1</v>
      </c>
      <c r="Q212">
        <f t="shared" si="32"/>
        <v>0</v>
      </c>
      <c r="R212">
        <v>0</v>
      </c>
      <c r="S212">
        <f t="shared" si="33"/>
        <v>0</v>
      </c>
      <c r="T212">
        <f t="shared" si="34"/>
        <v>0</v>
      </c>
      <c r="U212">
        <f t="shared" si="35"/>
        <v>0</v>
      </c>
      <c r="V212">
        <v>40</v>
      </c>
    </row>
    <row r="213" spans="1:22" x14ac:dyDescent="0.3">
      <c r="A213" t="s">
        <v>251</v>
      </c>
      <c r="B213" t="s">
        <v>257</v>
      </c>
      <c r="C213">
        <v>24</v>
      </c>
      <c r="D213" t="s">
        <v>24</v>
      </c>
      <c r="E213" t="s">
        <v>31</v>
      </c>
      <c r="F213" t="s">
        <v>38</v>
      </c>
      <c r="G213">
        <f t="shared" si="27"/>
        <v>2</v>
      </c>
      <c r="H213">
        <v>0</v>
      </c>
      <c r="I213">
        <f t="shared" si="28"/>
        <v>1</v>
      </c>
      <c r="J213">
        <v>0</v>
      </c>
      <c r="K213">
        <f t="shared" si="29"/>
        <v>1</v>
      </c>
      <c r="L213">
        <f t="shared" si="30"/>
        <v>0</v>
      </c>
      <c r="M213">
        <v>0</v>
      </c>
      <c r="N213">
        <v>0</v>
      </c>
      <c r="O213">
        <v>0</v>
      </c>
      <c r="P213">
        <f t="shared" si="31"/>
        <v>1</v>
      </c>
      <c r="Q213">
        <f t="shared" si="32"/>
        <v>0</v>
      </c>
      <c r="R213">
        <v>0</v>
      </c>
      <c r="S213">
        <f t="shared" si="33"/>
        <v>0</v>
      </c>
      <c r="T213">
        <f t="shared" si="34"/>
        <v>0</v>
      </c>
      <c r="U213">
        <f t="shared" si="35"/>
        <v>0</v>
      </c>
      <c r="V213">
        <v>40</v>
      </c>
    </row>
    <row r="214" spans="1:22" x14ac:dyDescent="0.3">
      <c r="A214" t="s">
        <v>251</v>
      </c>
      <c r="B214" t="s">
        <v>258</v>
      </c>
      <c r="C214">
        <v>12</v>
      </c>
      <c r="D214" t="s">
        <v>40</v>
      </c>
      <c r="E214" t="s">
        <v>37</v>
      </c>
      <c r="F214" t="s">
        <v>60</v>
      </c>
      <c r="G214">
        <f t="shared" si="27"/>
        <v>1</v>
      </c>
      <c r="H214">
        <v>138</v>
      </c>
      <c r="I214">
        <f t="shared" si="28"/>
        <v>1</v>
      </c>
      <c r="J214">
        <v>0</v>
      </c>
      <c r="K214">
        <f t="shared" si="29"/>
        <v>0</v>
      </c>
      <c r="L214">
        <f t="shared" si="30"/>
        <v>0</v>
      </c>
      <c r="M214">
        <v>0</v>
      </c>
      <c r="N214">
        <v>0</v>
      </c>
      <c r="O214">
        <v>0</v>
      </c>
      <c r="P214">
        <f t="shared" si="31"/>
        <v>0</v>
      </c>
      <c r="Q214">
        <f t="shared" si="32"/>
        <v>0</v>
      </c>
      <c r="R214">
        <v>0</v>
      </c>
      <c r="S214">
        <f t="shared" si="33"/>
        <v>0</v>
      </c>
      <c r="T214">
        <f t="shared" si="34"/>
        <v>0</v>
      </c>
      <c r="U214">
        <f t="shared" si="35"/>
        <v>0</v>
      </c>
      <c r="V214">
        <v>40</v>
      </c>
    </row>
    <row r="215" spans="1:22" x14ac:dyDescent="0.3">
      <c r="A215" t="s">
        <v>251</v>
      </c>
      <c r="B215" t="s">
        <v>259</v>
      </c>
      <c r="C215">
        <v>27</v>
      </c>
      <c r="D215" t="s">
        <v>43</v>
      </c>
      <c r="E215" t="s">
        <v>41</v>
      </c>
      <c r="F215" t="s">
        <v>38</v>
      </c>
      <c r="G215">
        <f t="shared" si="27"/>
        <v>2</v>
      </c>
      <c r="H215">
        <v>0</v>
      </c>
      <c r="I215">
        <f t="shared" si="28"/>
        <v>1</v>
      </c>
      <c r="J215">
        <v>0</v>
      </c>
      <c r="K215">
        <f t="shared" si="29"/>
        <v>0</v>
      </c>
      <c r="L215">
        <f t="shared" si="30"/>
        <v>0</v>
      </c>
      <c r="M215">
        <v>0</v>
      </c>
      <c r="N215">
        <v>0</v>
      </c>
      <c r="O215">
        <v>0</v>
      </c>
      <c r="P215">
        <f t="shared" si="31"/>
        <v>0</v>
      </c>
      <c r="Q215">
        <f t="shared" si="32"/>
        <v>0</v>
      </c>
      <c r="R215">
        <v>0</v>
      </c>
      <c r="S215">
        <f t="shared" si="33"/>
        <v>0</v>
      </c>
      <c r="T215">
        <f t="shared" si="34"/>
        <v>0</v>
      </c>
      <c r="U215">
        <f t="shared" si="35"/>
        <v>0</v>
      </c>
      <c r="V215">
        <v>40</v>
      </c>
    </row>
    <row r="216" spans="1:22" x14ac:dyDescent="0.3">
      <c r="A216" t="s">
        <v>251</v>
      </c>
      <c r="B216" t="s">
        <v>260</v>
      </c>
      <c r="C216">
        <v>24</v>
      </c>
      <c r="D216" t="s">
        <v>24</v>
      </c>
      <c r="E216" t="s">
        <v>31</v>
      </c>
      <c r="F216" t="s">
        <v>38</v>
      </c>
      <c r="G216">
        <f t="shared" si="27"/>
        <v>2</v>
      </c>
      <c r="H216">
        <v>3</v>
      </c>
      <c r="I216">
        <f t="shared" si="28"/>
        <v>1</v>
      </c>
      <c r="J216">
        <v>0</v>
      </c>
      <c r="K216">
        <f t="shared" si="29"/>
        <v>1</v>
      </c>
      <c r="L216">
        <f t="shared" si="30"/>
        <v>0</v>
      </c>
      <c r="M216">
        <v>0</v>
      </c>
      <c r="N216">
        <v>0</v>
      </c>
      <c r="O216">
        <v>0</v>
      </c>
      <c r="P216">
        <f t="shared" si="31"/>
        <v>1</v>
      </c>
      <c r="Q216">
        <f t="shared" si="32"/>
        <v>0</v>
      </c>
      <c r="R216">
        <v>0</v>
      </c>
      <c r="S216">
        <f t="shared" si="33"/>
        <v>0</v>
      </c>
      <c r="T216">
        <f t="shared" si="34"/>
        <v>0</v>
      </c>
      <c r="U216">
        <f t="shared" si="35"/>
        <v>0</v>
      </c>
      <c r="V216">
        <v>40</v>
      </c>
    </row>
    <row r="217" spans="1:22" x14ac:dyDescent="0.3">
      <c r="A217" t="s">
        <v>251</v>
      </c>
      <c r="B217" t="s">
        <v>261</v>
      </c>
      <c r="C217">
        <v>16</v>
      </c>
      <c r="D217" t="s">
        <v>43</v>
      </c>
      <c r="E217" t="s">
        <v>41</v>
      </c>
      <c r="F217" t="s">
        <v>60</v>
      </c>
      <c r="G217">
        <f t="shared" si="27"/>
        <v>1</v>
      </c>
      <c r="H217">
        <v>153</v>
      </c>
      <c r="I217">
        <f t="shared" si="28"/>
        <v>1</v>
      </c>
      <c r="J217">
        <v>0</v>
      </c>
      <c r="K217">
        <f t="shared" si="29"/>
        <v>0</v>
      </c>
      <c r="L217">
        <f t="shared" si="30"/>
        <v>0</v>
      </c>
      <c r="M217">
        <v>0</v>
      </c>
      <c r="N217">
        <v>0</v>
      </c>
      <c r="O217">
        <v>0</v>
      </c>
      <c r="P217">
        <f t="shared" si="31"/>
        <v>0</v>
      </c>
      <c r="Q217">
        <f t="shared" si="32"/>
        <v>0</v>
      </c>
      <c r="R217">
        <v>0</v>
      </c>
      <c r="S217">
        <f t="shared" si="33"/>
        <v>0</v>
      </c>
      <c r="T217">
        <f t="shared" si="34"/>
        <v>0</v>
      </c>
      <c r="U217">
        <f t="shared" si="35"/>
        <v>0</v>
      </c>
      <c r="V217">
        <v>40</v>
      </c>
    </row>
    <row r="218" spans="1:22" x14ac:dyDescent="0.3">
      <c r="A218" t="s">
        <v>251</v>
      </c>
      <c r="B218" t="s">
        <v>262</v>
      </c>
      <c r="C218">
        <v>10</v>
      </c>
      <c r="D218" t="s">
        <v>40</v>
      </c>
      <c r="E218" t="s">
        <v>25</v>
      </c>
      <c r="F218" t="s">
        <v>60</v>
      </c>
      <c r="G218">
        <f t="shared" si="27"/>
        <v>1</v>
      </c>
      <c r="H218">
        <v>71</v>
      </c>
      <c r="I218">
        <f t="shared" si="28"/>
        <v>1</v>
      </c>
      <c r="J218">
        <v>0</v>
      </c>
      <c r="K218">
        <f t="shared" si="29"/>
        <v>0</v>
      </c>
      <c r="L218">
        <f t="shared" si="30"/>
        <v>0</v>
      </c>
      <c r="M218">
        <v>0</v>
      </c>
      <c r="N218">
        <v>0</v>
      </c>
      <c r="O218">
        <v>0</v>
      </c>
      <c r="P218">
        <f t="shared" si="31"/>
        <v>0</v>
      </c>
      <c r="Q218">
        <f t="shared" si="32"/>
        <v>0</v>
      </c>
      <c r="R218">
        <v>0</v>
      </c>
      <c r="S218">
        <f t="shared" si="33"/>
        <v>0</v>
      </c>
      <c r="T218">
        <f t="shared" si="34"/>
        <v>0</v>
      </c>
      <c r="U218">
        <f t="shared" si="35"/>
        <v>0</v>
      </c>
      <c r="V218">
        <v>40</v>
      </c>
    </row>
    <row r="219" spans="1:22" x14ac:dyDescent="0.3">
      <c r="A219" t="s">
        <v>251</v>
      </c>
      <c r="B219" t="s">
        <v>263</v>
      </c>
      <c r="C219">
        <v>28</v>
      </c>
      <c r="D219" t="s">
        <v>43</v>
      </c>
      <c r="E219" t="s">
        <v>25</v>
      </c>
      <c r="F219" t="s">
        <v>38</v>
      </c>
      <c r="G219">
        <f t="shared" si="27"/>
        <v>2</v>
      </c>
      <c r="H219">
        <v>981</v>
      </c>
      <c r="I219">
        <f t="shared" si="28"/>
        <v>1</v>
      </c>
      <c r="J219">
        <v>0</v>
      </c>
      <c r="K219">
        <f t="shared" si="29"/>
        <v>0</v>
      </c>
      <c r="L219">
        <f t="shared" si="30"/>
        <v>0</v>
      </c>
      <c r="M219">
        <v>0</v>
      </c>
      <c r="N219">
        <v>0</v>
      </c>
      <c r="O219">
        <v>0</v>
      </c>
      <c r="P219">
        <f t="shared" si="31"/>
        <v>0</v>
      </c>
      <c r="Q219">
        <f t="shared" si="32"/>
        <v>0</v>
      </c>
      <c r="R219">
        <v>0</v>
      </c>
      <c r="S219">
        <f t="shared" si="33"/>
        <v>0</v>
      </c>
      <c r="T219">
        <f t="shared" si="34"/>
        <v>0</v>
      </c>
      <c r="U219">
        <f t="shared" si="35"/>
        <v>0</v>
      </c>
      <c r="V219">
        <v>40</v>
      </c>
    </row>
    <row r="220" spans="1:22" x14ac:dyDescent="0.3">
      <c r="A220" t="s">
        <v>251</v>
      </c>
      <c r="B220" t="s">
        <v>264</v>
      </c>
      <c r="C220">
        <v>13</v>
      </c>
      <c r="D220" t="s">
        <v>24</v>
      </c>
      <c r="E220" t="s">
        <v>28</v>
      </c>
      <c r="F220" t="s">
        <v>60</v>
      </c>
      <c r="G220">
        <f t="shared" si="27"/>
        <v>1</v>
      </c>
      <c r="H220">
        <v>68</v>
      </c>
      <c r="I220">
        <f t="shared" si="28"/>
        <v>1</v>
      </c>
      <c r="J220">
        <v>0</v>
      </c>
      <c r="K220">
        <f t="shared" si="29"/>
        <v>1</v>
      </c>
      <c r="L220">
        <f t="shared" si="30"/>
        <v>0</v>
      </c>
      <c r="M220">
        <v>0</v>
      </c>
      <c r="N220">
        <v>0</v>
      </c>
      <c r="O220">
        <v>0</v>
      </c>
      <c r="P220">
        <f t="shared" si="31"/>
        <v>1</v>
      </c>
      <c r="Q220">
        <f t="shared" si="32"/>
        <v>0</v>
      </c>
      <c r="R220">
        <v>0</v>
      </c>
      <c r="S220">
        <f t="shared" si="33"/>
        <v>0</v>
      </c>
      <c r="T220">
        <f t="shared" si="34"/>
        <v>0</v>
      </c>
      <c r="U220">
        <f t="shared" si="35"/>
        <v>0</v>
      </c>
      <c r="V220">
        <v>40</v>
      </c>
    </row>
    <row r="221" spans="1:22" x14ac:dyDescent="0.3">
      <c r="A221" t="s">
        <v>251</v>
      </c>
      <c r="B221" t="s">
        <v>265</v>
      </c>
      <c r="C221">
        <v>27</v>
      </c>
      <c r="D221" t="s">
        <v>43</v>
      </c>
      <c r="E221" t="s">
        <v>41</v>
      </c>
      <c r="F221" t="s">
        <v>38</v>
      </c>
      <c r="G221">
        <f t="shared" si="27"/>
        <v>2</v>
      </c>
      <c r="H221">
        <v>0</v>
      </c>
      <c r="I221">
        <f t="shared" si="28"/>
        <v>1</v>
      </c>
      <c r="J221">
        <v>0</v>
      </c>
      <c r="K221">
        <f t="shared" si="29"/>
        <v>0</v>
      </c>
      <c r="L221">
        <f t="shared" si="30"/>
        <v>0</v>
      </c>
      <c r="M221">
        <v>0</v>
      </c>
      <c r="N221">
        <v>0</v>
      </c>
      <c r="O221">
        <v>0</v>
      </c>
      <c r="P221">
        <f t="shared" si="31"/>
        <v>0</v>
      </c>
      <c r="Q221">
        <f t="shared" si="32"/>
        <v>0</v>
      </c>
      <c r="R221">
        <v>0</v>
      </c>
      <c r="S221">
        <f t="shared" si="33"/>
        <v>0</v>
      </c>
      <c r="T221">
        <f t="shared" si="34"/>
        <v>0</v>
      </c>
      <c r="U221">
        <f t="shared" si="35"/>
        <v>0</v>
      </c>
      <c r="V221">
        <v>40</v>
      </c>
    </row>
    <row r="222" spans="1:22" x14ac:dyDescent="0.3">
      <c r="A222" t="s">
        <v>251</v>
      </c>
      <c r="B222" t="s">
        <v>266</v>
      </c>
      <c r="C222">
        <v>27</v>
      </c>
      <c r="D222" t="s">
        <v>43</v>
      </c>
      <c r="E222" t="s">
        <v>31</v>
      </c>
      <c r="F222" t="s">
        <v>38</v>
      </c>
      <c r="G222">
        <f t="shared" si="27"/>
        <v>2</v>
      </c>
      <c r="H222">
        <v>68</v>
      </c>
      <c r="I222">
        <f t="shared" si="28"/>
        <v>1</v>
      </c>
      <c r="J222">
        <v>0</v>
      </c>
      <c r="K222">
        <f t="shared" si="29"/>
        <v>0</v>
      </c>
      <c r="L222">
        <f t="shared" si="30"/>
        <v>0</v>
      </c>
      <c r="M222">
        <v>0</v>
      </c>
      <c r="N222">
        <v>0</v>
      </c>
      <c r="O222">
        <v>0</v>
      </c>
      <c r="P222">
        <f t="shared" si="31"/>
        <v>0</v>
      </c>
      <c r="Q222">
        <f t="shared" si="32"/>
        <v>0</v>
      </c>
      <c r="R222">
        <v>0</v>
      </c>
      <c r="S222">
        <f t="shared" si="33"/>
        <v>0</v>
      </c>
      <c r="T222">
        <f t="shared" si="34"/>
        <v>0</v>
      </c>
      <c r="U222">
        <f t="shared" si="35"/>
        <v>0</v>
      </c>
      <c r="V222">
        <v>40</v>
      </c>
    </row>
    <row r="223" spans="1:22" x14ac:dyDescent="0.3">
      <c r="A223" t="s">
        <v>251</v>
      </c>
      <c r="B223" t="s">
        <v>267</v>
      </c>
      <c r="C223">
        <v>11</v>
      </c>
      <c r="D223" t="s">
        <v>40</v>
      </c>
      <c r="E223" t="s">
        <v>28</v>
      </c>
      <c r="F223" t="s">
        <v>60</v>
      </c>
      <c r="G223">
        <f t="shared" si="27"/>
        <v>1</v>
      </c>
      <c r="H223">
        <v>258</v>
      </c>
      <c r="I223">
        <f t="shared" si="28"/>
        <v>1</v>
      </c>
      <c r="J223">
        <v>0</v>
      </c>
      <c r="K223">
        <f t="shared" si="29"/>
        <v>0</v>
      </c>
      <c r="L223">
        <f t="shared" si="30"/>
        <v>0</v>
      </c>
      <c r="M223">
        <v>0</v>
      </c>
      <c r="N223">
        <v>0</v>
      </c>
      <c r="O223">
        <v>0</v>
      </c>
      <c r="P223">
        <f t="shared" si="31"/>
        <v>0</v>
      </c>
      <c r="Q223">
        <f t="shared" si="32"/>
        <v>0</v>
      </c>
      <c r="R223">
        <v>0</v>
      </c>
      <c r="S223">
        <f t="shared" si="33"/>
        <v>0</v>
      </c>
      <c r="T223">
        <f t="shared" si="34"/>
        <v>0</v>
      </c>
      <c r="U223">
        <f t="shared" si="35"/>
        <v>0</v>
      </c>
      <c r="V223">
        <v>40</v>
      </c>
    </row>
    <row r="224" spans="1:22" x14ac:dyDescent="0.3">
      <c r="A224" t="s">
        <v>251</v>
      </c>
      <c r="B224" t="s">
        <v>268</v>
      </c>
      <c r="C224">
        <v>10</v>
      </c>
      <c r="D224" t="s">
        <v>24</v>
      </c>
      <c r="E224" t="s">
        <v>25</v>
      </c>
      <c r="F224" t="s">
        <v>60</v>
      </c>
      <c r="G224">
        <f t="shared" si="27"/>
        <v>1</v>
      </c>
      <c r="H224">
        <v>132</v>
      </c>
      <c r="I224">
        <f t="shared" si="28"/>
        <v>1</v>
      </c>
      <c r="J224">
        <v>0</v>
      </c>
      <c r="K224">
        <f t="shared" si="29"/>
        <v>1</v>
      </c>
      <c r="L224">
        <f t="shared" si="30"/>
        <v>0</v>
      </c>
      <c r="M224">
        <v>0</v>
      </c>
      <c r="N224">
        <v>0</v>
      </c>
      <c r="O224">
        <v>0</v>
      </c>
      <c r="P224">
        <f t="shared" si="31"/>
        <v>1</v>
      </c>
      <c r="Q224">
        <f t="shared" si="32"/>
        <v>0</v>
      </c>
      <c r="R224">
        <v>0</v>
      </c>
      <c r="S224">
        <f t="shared" si="33"/>
        <v>0</v>
      </c>
      <c r="T224">
        <f t="shared" si="34"/>
        <v>0</v>
      </c>
      <c r="U224">
        <f t="shared" si="35"/>
        <v>0</v>
      </c>
      <c r="V224">
        <v>40</v>
      </c>
    </row>
    <row r="225" spans="1:22" x14ac:dyDescent="0.3">
      <c r="A225" t="s">
        <v>251</v>
      </c>
      <c r="B225" t="s">
        <v>269</v>
      </c>
      <c r="C225">
        <v>12</v>
      </c>
      <c r="D225" t="s">
        <v>40</v>
      </c>
      <c r="E225" t="s">
        <v>31</v>
      </c>
      <c r="F225" t="s">
        <v>60</v>
      </c>
      <c r="G225">
        <f t="shared" si="27"/>
        <v>1</v>
      </c>
      <c r="H225">
        <v>0</v>
      </c>
      <c r="I225">
        <f t="shared" si="28"/>
        <v>1</v>
      </c>
      <c r="J225">
        <v>0</v>
      </c>
      <c r="K225">
        <f t="shared" si="29"/>
        <v>0</v>
      </c>
      <c r="L225">
        <f t="shared" si="30"/>
        <v>0</v>
      </c>
      <c r="M225">
        <v>0</v>
      </c>
      <c r="N225">
        <v>0</v>
      </c>
      <c r="O225">
        <v>0</v>
      </c>
      <c r="P225">
        <f t="shared" si="31"/>
        <v>0</v>
      </c>
      <c r="Q225">
        <f t="shared" si="32"/>
        <v>0</v>
      </c>
      <c r="R225">
        <v>0</v>
      </c>
      <c r="S225">
        <f t="shared" si="33"/>
        <v>0</v>
      </c>
      <c r="T225">
        <f t="shared" si="34"/>
        <v>0</v>
      </c>
      <c r="U225">
        <f t="shared" si="35"/>
        <v>0</v>
      </c>
      <c r="V225">
        <v>40</v>
      </c>
    </row>
    <row r="226" spans="1:22" x14ac:dyDescent="0.3">
      <c r="A226" t="s">
        <v>251</v>
      </c>
      <c r="B226" t="s">
        <v>270</v>
      </c>
      <c r="C226">
        <v>24</v>
      </c>
      <c r="D226" t="s">
        <v>46</v>
      </c>
      <c r="E226" t="s">
        <v>37</v>
      </c>
      <c r="F226" t="s">
        <v>38</v>
      </c>
      <c r="G226">
        <f t="shared" si="27"/>
        <v>2</v>
      </c>
      <c r="H226">
        <v>0</v>
      </c>
      <c r="I226">
        <f t="shared" si="28"/>
        <v>0</v>
      </c>
      <c r="J226">
        <v>0</v>
      </c>
      <c r="K226">
        <f t="shared" si="29"/>
        <v>0</v>
      </c>
      <c r="L226">
        <f t="shared" si="30"/>
        <v>0</v>
      </c>
      <c r="M226">
        <v>0</v>
      </c>
      <c r="N226">
        <v>0</v>
      </c>
      <c r="O226">
        <v>0</v>
      </c>
      <c r="P226">
        <f t="shared" si="31"/>
        <v>0</v>
      </c>
      <c r="Q226">
        <f t="shared" si="32"/>
        <v>0</v>
      </c>
      <c r="R226">
        <v>0</v>
      </c>
      <c r="S226">
        <f t="shared" si="33"/>
        <v>0</v>
      </c>
      <c r="T226">
        <f t="shared" si="34"/>
        <v>0</v>
      </c>
      <c r="U226">
        <f t="shared" si="35"/>
        <v>0</v>
      </c>
      <c r="V226">
        <v>40</v>
      </c>
    </row>
    <row r="227" spans="1:22" x14ac:dyDescent="0.3">
      <c r="A227" t="s">
        <v>251</v>
      </c>
      <c r="B227" t="s">
        <v>271</v>
      </c>
      <c r="C227">
        <v>24</v>
      </c>
      <c r="D227" t="s">
        <v>46</v>
      </c>
      <c r="E227" t="s">
        <v>41</v>
      </c>
      <c r="F227" t="s">
        <v>38</v>
      </c>
      <c r="G227">
        <f t="shared" si="27"/>
        <v>2</v>
      </c>
      <c r="H227">
        <v>0</v>
      </c>
      <c r="I227">
        <f t="shared" si="28"/>
        <v>0</v>
      </c>
      <c r="J227">
        <v>0</v>
      </c>
      <c r="K227">
        <f t="shared" si="29"/>
        <v>0</v>
      </c>
      <c r="L227">
        <f t="shared" si="30"/>
        <v>0</v>
      </c>
      <c r="M227">
        <v>0</v>
      </c>
      <c r="N227">
        <v>0</v>
      </c>
      <c r="O227">
        <v>0</v>
      </c>
      <c r="P227">
        <f t="shared" si="31"/>
        <v>0</v>
      </c>
      <c r="Q227">
        <f t="shared" si="32"/>
        <v>0</v>
      </c>
      <c r="R227">
        <v>0</v>
      </c>
      <c r="S227">
        <f t="shared" si="33"/>
        <v>0</v>
      </c>
      <c r="T227">
        <f t="shared" si="34"/>
        <v>0</v>
      </c>
      <c r="U227">
        <f t="shared" si="35"/>
        <v>0</v>
      </c>
      <c r="V227">
        <v>40</v>
      </c>
    </row>
    <row r="228" spans="1:22" x14ac:dyDescent="0.3">
      <c r="A228" t="s">
        <v>251</v>
      </c>
      <c r="B228" t="s">
        <v>272</v>
      </c>
      <c r="C228">
        <v>18</v>
      </c>
      <c r="D228" t="s">
        <v>46</v>
      </c>
      <c r="E228" t="s">
        <v>31</v>
      </c>
      <c r="F228" t="s">
        <v>60</v>
      </c>
      <c r="G228">
        <f t="shared" si="27"/>
        <v>1</v>
      </c>
      <c r="H228">
        <v>78</v>
      </c>
      <c r="I228">
        <f t="shared" si="28"/>
        <v>0</v>
      </c>
      <c r="J228">
        <v>0</v>
      </c>
      <c r="K228">
        <f t="shared" si="29"/>
        <v>0</v>
      </c>
      <c r="L228">
        <f t="shared" si="30"/>
        <v>0</v>
      </c>
      <c r="M228">
        <v>0</v>
      </c>
      <c r="N228">
        <v>0</v>
      </c>
      <c r="O228">
        <v>0</v>
      </c>
      <c r="P228">
        <f t="shared" si="31"/>
        <v>0</v>
      </c>
      <c r="Q228">
        <f t="shared" si="32"/>
        <v>0</v>
      </c>
      <c r="R228">
        <v>0</v>
      </c>
      <c r="S228">
        <f t="shared" si="33"/>
        <v>0</v>
      </c>
      <c r="T228">
        <f t="shared" si="34"/>
        <v>0</v>
      </c>
      <c r="U228">
        <f t="shared" si="35"/>
        <v>0</v>
      </c>
      <c r="V228">
        <v>40</v>
      </c>
    </row>
    <row r="229" spans="1:22" x14ac:dyDescent="0.3">
      <c r="A229" t="s">
        <v>251</v>
      </c>
      <c r="B229" t="s">
        <v>273</v>
      </c>
      <c r="C229">
        <v>25</v>
      </c>
      <c r="D229" t="s">
        <v>46</v>
      </c>
      <c r="E229" t="s">
        <v>31</v>
      </c>
      <c r="F229" t="s">
        <v>38</v>
      </c>
      <c r="G229">
        <f t="shared" si="27"/>
        <v>2</v>
      </c>
      <c r="H229">
        <v>0</v>
      </c>
      <c r="I229">
        <f t="shared" si="28"/>
        <v>0</v>
      </c>
      <c r="J229">
        <v>0</v>
      </c>
      <c r="K229">
        <f t="shared" si="29"/>
        <v>0</v>
      </c>
      <c r="L229">
        <f t="shared" si="30"/>
        <v>0</v>
      </c>
      <c r="M229">
        <v>0</v>
      </c>
      <c r="N229">
        <v>0</v>
      </c>
      <c r="O229">
        <v>0</v>
      </c>
      <c r="P229">
        <f t="shared" si="31"/>
        <v>0</v>
      </c>
      <c r="Q229">
        <f t="shared" si="32"/>
        <v>0</v>
      </c>
      <c r="R229">
        <v>0</v>
      </c>
      <c r="S229">
        <f t="shared" si="33"/>
        <v>0</v>
      </c>
      <c r="T229">
        <f t="shared" si="34"/>
        <v>0</v>
      </c>
      <c r="U229">
        <f t="shared" si="35"/>
        <v>0</v>
      </c>
      <c r="V229">
        <v>40</v>
      </c>
    </row>
    <row r="230" spans="1:22" x14ac:dyDescent="0.3">
      <c r="A230" t="s">
        <v>251</v>
      </c>
      <c r="B230" t="s">
        <v>274</v>
      </c>
      <c r="C230">
        <v>15</v>
      </c>
      <c r="D230" t="s">
        <v>46</v>
      </c>
      <c r="E230" t="s">
        <v>34</v>
      </c>
      <c r="F230" t="s">
        <v>60</v>
      </c>
      <c r="G230">
        <f t="shared" si="27"/>
        <v>1</v>
      </c>
      <c r="H230">
        <v>0</v>
      </c>
      <c r="I230">
        <f t="shared" si="28"/>
        <v>0</v>
      </c>
      <c r="J230">
        <v>0</v>
      </c>
      <c r="K230">
        <f t="shared" si="29"/>
        <v>0</v>
      </c>
      <c r="L230">
        <f t="shared" si="30"/>
        <v>0</v>
      </c>
      <c r="M230">
        <v>0</v>
      </c>
      <c r="N230">
        <v>0</v>
      </c>
      <c r="O230">
        <v>0</v>
      </c>
      <c r="P230">
        <f t="shared" si="31"/>
        <v>0</v>
      </c>
      <c r="Q230">
        <f t="shared" si="32"/>
        <v>0</v>
      </c>
      <c r="R230">
        <v>0</v>
      </c>
      <c r="S230">
        <f t="shared" si="33"/>
        <v>0</v>
      </c>
      <c r="T230">
        <f t="shared" si="34"/>
        <v>0</v>
      </c>
      <c r="U230">
        <f t="shared" si="35"/>
        <v>0</v>
      </c>
      <c r="V230">
        <v>40</v>
      </c>
    </row>
    <row r="231" spans="1:22" x14ac:dyDescent="0.3">
      <c r="A231" t="s">
        <v>251</v>
      </c>
      <c r="B231" t="s">
        <v>275</v>
      </c>
      <c r="C231">
        <v>42</v>
      </c>
      <c r="D231" t="s">
        <v>46</v>
      </c>
      <c r="E231" t="s">
        <v>31</v>
      </c>
      <c r="F231" t="s">
        <v>65</v>
      </c>
      <c r="G231">
        <f t="shared" si="27"/>
        <v>3</v>
      </c>
      <c r="H231">
        <v>0</v>
      </c>
      <c r="I231">
        <f t="shared" si="28"/>
        <v>0</v>
      </c>
      <c r="J231">
        <v>0</v>
      </c>
      <c r="K231">
        <f t="shared" si="29"/>
        <v>0</v>
      </c>
      <c r="L231">
        <f t="shared" si="30"/>
        <v>0</v>
      </c>
      <c r="M231">
        <v>0</v>
      </c>
      <c r="N231">
        <v>0</v>
      </c>
      <c r="O231">
        <v>0</v>
      </c>
      <c r="P231">
        <f t="shared" si="31"/>
        <v>0</v>
      </c>
      <c r="Q231">
        <f t="shared" si="32"/>
        <v>0</v>
      </c>
      <c r="R231">
        <v>0</v>
      </c>
      <c r="S231">
        <f t="shared" si="33"/>
        <v>0</v>
      </c>
      <c r="T231">
        <f t="shared" si="34"/>
        <v>0</v>
      </c>
      <c r="U231">
        <f t="shared" si="35"/>
        <v>0</v>
      </c>
      <c r="V231">
        <v>40</v>
      </c>
    </row>
    <row r="232" spans="1:22" x14ac:dyDescent="0.3">
      <c r="A232" t="s">
        <v>251</v>
      </c>
      <c r="B232" t="s">
        <v>276</v>
      </c>
      <c r="C232">
        <v>27</v>
      </c>
      <c r="D232" t="s">
        <v>46</v>
      </c>
      <c r="E232" t="s">
        <v>34</v>
      </c>
      <c r="F232" t="s">
        <v>38</v>
      </c>
      <c r="G232">
        <f t="shared" si="27"/>
        <v>2</v>
      </c>
      <c r="H232">
        <v>0</v>
      </c>
      <c r="I232">
        <f t="shared" si="28"/>
        <v>0</v>
      </c>
      <c r="J232">
        <v>0</v>
      </c>
      <c r="K232">
        <f t="shared" si="29"/>
        <v>0</v>
      </c>
      <c r="L232">
        <f t="shared" si="30"/>
        <v>0</v>
      </c>
      <c r="M232">
        <v>0</v>
      </c>
      <c r="N232">
        <v>0</v>
      </c>
      <c r="O232">
        <v>0</v>
      </c>
      <c r="P232">
        <f t="shared" si="31"/>
        <v>0</v>
      </c>
      <c r="Q232">
        <f t="shared" si="32"/>
        <v>0</v>
      </c>
      <c r="R232">
        <v>0</v>
      </c>
      <c r="S232">
        <f t="shared" si="33"/>
        <v>0</v>
      </c>
      <c r="T232">
        <f t="shared" si="34"/>
        <v>0</v>
      </c>
      <c r="U232">
        <f t="shared" si="35"/>
        <v>0</v>
      </c>
      <c r="V232">
        <v>40</v>
      </c>
    </row>
    <row r="233" spans="1:22" x14ac:dyDescent="0.3">
      <c r="A233" t="s">
        <v>251</v>
      </c>
      <c r="B233" t="s">
        <v>277</v>
      </c>
      <c r="C233">
        <v>30</v>
      </c>
      <c r="D233" t="s">
        <v>46</v>
      </c>
      <c r="E233" t="s">
        <v>34</v>
      </c>
      <c r="F233" t="s">
        <v>38</v>
      </c>
      <c r="G233">
        <f t="shared" si="27"/>
        <v>2</v>
      </c>
      <c r="H233">
        <v>0</v>
      </c>
      <c r="I233">
        <f t="shared" si="28"/>
        <v>0</v>
      </c>
      <c r="J233">
        <v>0</v>
      </c>
      <c r="K233">
        <f t="shared" si="29"/>
        <v>0</v>
      </c>
      <c r="L233">
        <f t="shared" si="30"/>
        <v>0</v>
      </c>
      <c r="M233">
        <v>0</v>
      </c>
      <c r="N233">
        <v>0</v>
      </c>
      <c r="O233">
        <v>0</v>
      </c>
      <c r="P233">
        <f t="shared" si="31"/>
        <v>0</v>
      </c>
      <c r="Q233">
        <f t="shared" si="32"/>
        <v>0</v>
      </c>
      <c r="R233">
        <v>0</v>
      </c>
      <c r="S233">
        <f t="shared" si="33"/>
        <v>0</v>
      </c>
      <c r="T233">
        <f t="shared" si="34"/>
        <v>0</v>
      </c>
      <c r="U233">
        <f t="shared" si="35"/>
        <v>0</v>
      </c>
      <c r="V233">
        <v>40</v>
      </c>
    </row>
    <row r="234" spans="1:22" x14ac:dyDescent="0.3">
      <c r="A234" t="s">
        <v>251</v>
      </c>
      <c r="B234" t="s">
        <v>278</v>
      </c>
      <c r="C234">
        <v>24</v>
      </c>
      <c r="D234" t="s">
        <v>46</v>
      </c>
      <c r="E234" t="s">
        <v>31</v>
      </c>
      <c r="F234" t="s">
        <v>38</v>
      </c>
      <c r="G234">
        <f t="shared" si="27"/>
        <v>2</v>
      </c>
      <c r="H234">
        <v>0</v>
      </c>
      <c r="I234">
        <f t="shared" si="28"/>
        <v>0</v>
      </c>
      <c r="J234">
        <v>0</v>
      </c>
      <c r="K234">
        <f t="shared" si="29"/>
        <v>0</v>
      </c>
      <c r="L234">
        <f t="shared" si="30"/>
        <v>0</v>
      </c>
      <c r="M234">
        <v>0</v>
      </c>
      <c r="N234">
        <v>0</v>
      </c>
      <c r="O234">
        <v>0</v>
      </c>
      <c r="P234">
        <f t="shared" si="31"/>
        <v>0</v>
      </c>
      <c r="Q234">
        <f t="shared" si="32"/>
        <v>0</v>
      </c>
      <c r="R234">
        <v>0</v>
      </c>
      <c r="S234">
        <f t="shared" si="33"/>
        <v>0</v>
      </c>
      <c r="T234">
        <f t="shared" si="34"/>
        <v>0</v>
      </c>
      <c r="U234">
        <f t="shared" si="35"/>
        <v>0</v>
      </c>
      <c r="V234">
        <v>40</v>
      </c>
    </row>
    <row r="235" spans="1:22" x14ac:dyDescent="0.3">
      <c r="A235" t="s">
        <v>251</v>
      </c>
      <c r="B235" t="s">
        <v>279</v>
      </c>
      <c r="C235">
        <v>25</v>
      </c>
      <c r="D235" t="s">
        <v>46</v>
      </c>
      <c r="E235" t="s">
        <v>41</v>
      </c>
      <c r="F235" t="s">
        <v>38</v>
      </c>
      <c r="G235">
        <f t="shared" si="27"/>
        <v>2</v>
      </c>
      <c r="H235">
        <v>0</v>
      </c>
      <c r="I235">
        <f t="shared" si="28"/>
        <v>0</v>
      </c>
      <c r="J235">
        <v>0</v>
      </c>
      <c r="K235">
        <f t="shared" si="29"/>
        <v>0</v>
      </c>
      <c r="L235">
        <f t="shared" si="30"/>
        <v>0</v>
      </c>
      <c r="M235">
        <v>0</v>
      </c>
      <c r="N235">
        <v>0</v>
      </c>
      <c r="O235">
        <v>0</v>
      </c>
      <c r="P235">
        <f t="shared" si="31"/>
        <v>0</v>
      </c>
      <c r="Q235">
        <f t="shared" si="32"/>
        <v>0</v>
      </c>
      <c r="R235">
        <v>0</v>
      </c>
      <c r="S235">
        <f t="shared" si="33"/>
        <v>0</v>
      </c>
      <c r="T235">
        <f t="shared" si="34"/>
        <v>0</v>
      </c>
      <c r="U235">
        <f t="shared" si="35"/>
        <v>0</v>
      </c>
      <c r="V235">
        <v>40</v>
      </c>
    </row>
    <row r="236" spans="1:22" x14ac:dyDescent="0.3">
      <c r="A236" t="s">
        <v>251</v>
      </c>
      <c r="B236" t="s">
        <v>280</v>
      </c>
      <c r="C236">
        <v>14</v>
      </c>
      <c r="D236" t="s">
        <v>46</v>
      </c>
      <c r="E236" t="s">
        <v>41</v>
      </c>
      <c r="F236" t="s">
        <v>60</v>
      </c>
      <c r="G236">
        <f t="shared" si="27"/>
        <v>1</v>
      </c>
      <c r="H236">
        <v>0</v>
      </c>
      <c r="I236">
        <f t="shared" si="28"/>
        <v>0</v>
      </c>
      <c r="J236">
        <v>0</v>
      </c>
      <c r="K236">
        <f t="shared" si="29"/>
        <v>0</v>
      </c>
      <c r="L236">
        <f t="shared" si="30"/>
        <v>0</v>
      </c>
      <c r="M236">
        <v>0</v>
      </c>
      <c r="N236">
        <v>0</v>
      </c>
      <c r="O236">
        <v>0</v>
      </c>
      <c r="P236">
        <f t="shared" si="31"/>
        <v>0</v>
      </c>
      <c r="Q236">
        <f t="shared" si="32"/>
        <v>0</v>
      </c>
      <c r="R236">
        <v>0</v>
      </c>
      <c r="S236">
        <f t="shared" si="33"/>
        <v>0</v>
      </c>
      <c r="T236">
        <f t="shared" si="34"/>
        <v>0</v>
      </c>
      <c r="U236">
        <f t="shared" si="35"/>
        <v>0</v>
      </c>
      <c r="V236">
        <v>40</v>
      </c>
    </row>
    <row r="237" spans="1:22" x14ac:dyDescent="0.3">
      <c r="A237" t="s">
        <v>251</v>
      </c>
      <c r="B237" t="s">
        <v>281</v>
      </c>
      <c r="C237">
        <v>16</v>
      </c>
      <c r="D237" t="s">
        <v>46</v>
      </c>
      <c r="E237" t="s">
        <v>37</v>
      </c>
      <c r="F237" t="s">
        <v>60</v>
      </c>
      <c r="G237">
        <f t="shared" si="27"/>
        <v>1</v>
      </c>
      <c r="H237">
        <v>78</v>
      </c>
      <c r="I237">
        <f t="shared" si="28"/>
        <v>0</v>
      </c>
      <c r="J237">
        <v>0</v>
      </c>
      <c r="K237">
        <f t="shared" si="29"/>
        <v>0</v>
      </c>
      <c r="L237">
        <f t="shared" si="30"/>
        <v>0</v>
      </c>
      <c r="M237">
        <v>0</v>
      </c>
      <c r="N237">
        <v>0</v>
      </c>
      <c r="O237">
        <v>0</v>
      </c>
      <c r="P237">
        <f t="shared" si="31"/>
        <v>0</v>
      </c>
      <c r="Q237">
        <f t="shared" si="32"/>
        <v>0</v>
      </c>
      <c r="R237">
        <v>0</v>
      </c>
      <c r="S237">
        <f t="shared" si="33"/>
        <v>0</v>
      </c>
      <c r="T237">
        <f t="shared" si="34"/>
        <v>0</v>
      </c>
      <c r="U237">
        <f t="shared" si="35"/>
        <v>0</v>
      </c>
      <c r="V237">
        <v>40</v>
      </c>
    </row>
    <row r="238" spans="1:22" x14ac:dyDescent="0.3">
      <c r="A238" t="s">
        <v>251</v>
      </c>
      <c r="B238" t="s">
        <v>282</v>
      </c>
      <c r="C238">
        <v>28</v>
      </c>
      <c r="D238" t="s">
        <v>46</v>
      </c>
      <c r="E238" t="s">
        <v>25</v>
      </c>
      <c r="F238" t="s">
        <v>38</v>
      </c>
      <c r="G238">
        <f t="shared" si="27"/>
        <v>2</v>
      </c>
      <c r="H238">
        <v>1065</v>
      </c>
      <c r="I238">
        <f t="shared" si="28"/>
        <v>0</v>
      </c>
      <c r="J238">
        <v>0</v>
      </c>
      <c r="K238">
        <f t="shared" si="29"/>
        <v>0</v>
      </c>
      <c r="L238">
        <f t="shared" si="30"/>
        <v>0</v>
      </c>
      <c r="M238">
        <v>0</v>
      </c>
      <c r="N238">
        <v>0</v>
      </c>
      <c r="O238">
        <v>0</v>
      </c>
      <c r="P238">
        <f t="shared" si="31"/>
        <v>0</v>
      </c>
      <c r="Q238">
        <f t="shared" si="32"/>
        <v>0</v>
      </c>
      <c r="R238">
        <v>0</v>
      </c>
      <c r="S238">
        <f t="shared" si="33"/>
        <v>0</v>
      </c>
      <c r="T238">
        <f t="shared" si="34"/>
        <v>0</v>
      </c>
      <c r="U238">
        <f t="shared" si="35"/>
        <v>0</v>
      </c>
      <c r="V238">
        <v>40</v>
      </c>
    </row>
    <row r="239" spans="1:22" x14ac:dyDescent="0.3">
      <c r="A239" t="s">
        <v>251</v>
      </c>
      <c r="B239" t="s">
        <v>283</v>
      </c>
      <c r="C239">
        <v>30</v>
      </c>
      <c r="D239" t="s">
        <v>46</v>
      </c>
      <c r="E239" t="s">
        <v>37</v>
      </c>
      <c r="F239" t="s">
        <v>38</v>
      </c>
      <c r="G239">
        <f t="shared" si="27"/>
        <v>2</v>
      </c>
      <c r="H239">
        <v>1065</v>
      </c>
      <c r="I239">
        <f t="shared" si="28"/>
        <v>0</v>
      </c>
      <c r="J239">
        <v>0</v>
      </c>
      <c r="K239">
        <f t="shared" si="29"/>
        <v>0</v>
      </c>
      <c r="L239">
        <f t="shared" si="30"/>
        <v>0</v>
      </c>
      <c r="M239">
        <v>0</v>
      </c>
      <c r="N239">
        <v>0</v>
      </c>
      <c r="O239">
        <v>0</v>
      </c>
      <c r="P239">
        <f t="shared" si="31"/>
        <v>0</v>
      </c>
      <c r="Q239">
        <f t="shared" si="32"/>
        <v>0</v>
      </c>
      <c r="R239">
        <v>0</v>
      </c>
      <c r="S239">
        <f t="shared" si="33"/>
        <v>0</v>
      </c>
      <c r="T239">
        <f t="shared" si="34"/>
        <v>0</v>
      </c>
      <c r="U239">
        <f t="shared" si="35"/>
        <v>0</v>
      </c>
      <c r="V239">
        <v>40</v>
      </c>
    </row>
    <row r="240" spans="1:22" x14ac:dyDescent="0.3">
      <c r="A240" t="s">
        <v>251</v>
      </c>
      <c r="B240" t="s">
        <v>284</v>
      </c>
      <c r="C240">
        <v>21</v>
      </c>
      <c r="D240" t="s">
        <v>73</v>
      </c>
      <c r="E240" t="s">
        <v>25</v>
      </c>
      <c r="F240" t="s">
        <v>38</v>
      </c>
      <c r="G240">
        <f t="shared" si="27"/>
        <v>2</v>
      </c>
      <c r="H240">
        <v>1040</v>
      </c>
      <c r="I240">
        <f t="shared" si="28"/>
        <v>1</v>
      </c>
      <c r="J240">
        <v>0</v>
      </c>
      <c r="K240">
        <f t="shared" si="29"/>
        <v>0</v>
      </c>
      <c r="L240">
        <f t="shared" si="30"/>
        <v>1</v>
      </c>
      <c r="M240">
        <v>0</v>
      </c>
      <c r="N240">
        <v>0</v>
      </c>
      <c r="O240">
        <v>0</v>
      </c>
      <c r="P240">
        <f t="shared" si="31"/>
        <v>0</v>
      </c>
      <c r="Q240">
        <f t="shared" si="32"/>
        <v>0</v>
      </c>
      <c r="R240">
        <v>0</v>
      </c>
      <c r="S240">
        <f t="shared" si="33"/>
        <v>1</v>
      </c>
      <c r="T240">
        <f t="shared" si="34"/>
        <v>0</v>
      </c>
      <c r="U240">
        <f t="shared" si="35"/>
        <v>0</v>
      </c>
      <c r="V240">
        <v>40</v>
      </c>
    </row>
    <row r="241" spans="1:22" x14ac:dyDescent="0.3">
      <c r="A241" t="s">
        <v>251</v>
      </c>
      <c r="B241" t="s">
        <v>285</v>
      </c>
      <c r="C241">
        <v>30</v>
      </c>
      <c r="D241" t="s">
        <v>30</v>
      </c>
      <c r="E241" t="s">
        <v>25</v>
      </c>
      <c r="F241" t="s">
        <v>38</v>
      </c>
      <c r="G241">
        <f t="shared" si="27"/>
        <v>2</v>
      </c>
      <c r="H241">
        <v>1049</v>
      </c>
      <c r="I241">
        <f t="shared" si="28"/>
        <v>1</v>
      </c>
      <c r="J241">
        <v>0</v>
      </c>
      <c r="K241">
        <f t="shared" si="29"/>
        <v>0</v>
      </c>
      <c r="L241">
        <f t="shared" si="30"/>
        <v>1</v>
      </c>
      <c r="M241">
        <v>0</v>
      </c>
      <c r="N241">
        <v>0</v>
      </c>
      <c r="O241">
        <v>0</v>
      </c>
      <c r="P241">
        <f t="shared" si="31"/>
        <v>0</v>
      </c>
      <c r="Q241">
        <f t="shared" si="32"/>
        <v>0</v>
      </c>
      <c r="R241">
        <v>0</v>
      </c>
      <c r="S241">
        <f t="shared" si="33"/>
        <v>1</v>
      </c>
      <c r="T241">
        <f t="shared" si="34"/>
        <v>0</v>
      </c>
      <c r="U241">
        <f t="shared" si="35"/>
        <v>1</v>
      </c>
      <c r="V241">
        <v>40</v>
      </c>
    </row>
    <row r="242" spans="1:22" x14ac:dyDescent="0.3">
      <c r="A242" t="s">
        <v>251</v>
      </c>
      <c r="B242" t="s">
        <v>286</v>
      </c>
      <c r="C242">
        <v>24</v>
      </c>
      <c r="D242" t="s">
        <v>73</v>
      </c>
      <c r="E242" t="s">
        <v>25</v>
      </c>
      <c r="F242" t="s">
        <v>38</v>
      </c>
      <c r="G242">
        <f t="shared" si="27"/>
        <v>2</v>
      </c>
      <c r="H242">
        <v>1069</v>
      </c>
      <c r="I242">
        <f t="shared" si="28"/>
        <v>1</v>
      </c>
      <c r="J242">
        <v>0</v>
      </c>
      <c r="K242">
        <f t="shared" si="29"/>
        <v>0</v>
      </c>
      <c r="L242">
        <f t="shared" si="30"/>
        <v>1</v>
      </c>
      <c r="M242">
        <v>0</v>
      </c>
      <c r="N242">
        <v>0</v>
      </c>
      <c r="O242">
        <v>0</v>
      </c>
      <c r="P242">
        <f t="shared" si="31"/>
        <v>0</v>
      </c>
      <c r="Q242">
        <f t="shared" si="32"/>
        <v>0</v>
      </c>
      <c r="R242">
        <v>0</v>
      </c>
      <c r="S242">
        <f t="shared" si="33"/>
        <v>1</v>
      </c>
      <c r="T242">
        <f t="shared" si="34"/>
        <v>0</v>
      </c>
      <c r="U242">
        <f t="shared" si="35"/>
        <v>0</v>
      </c>
      <c r="V242">
        <v>40</v>
      </c>
    </row>
    <row r="243" spans="1:22" x14ac:dyDescent="0.3">
      <c r="A243" t="s">
        <v>251</v>
      </c>
      <c r="B243" t="s">
        <v>287</v>
      </c>
      <c r="C243">
        <v>29</v>
      </c>
      <c r="D243" t="s">
        <v>54</v>
      </c>
      <c r="E243" t="s">
        <v>41</v>
      </c>
      <c r="F243" t="s">
        <v>38</v>
      </c>
      <c r="G243">
        <f t="shared" si="27"/>
        <v>2</v>
      </c>
      <c r="H243">
        <v>1111</v>
      </c>
      <c r="I243">
        <f t="shared" si="28"/>
        <v>1</v>
      </c>
      <c r="J243">
        <v>0</v>
      </c>
      <c r="K243">
        <f t="shared" si="29"/>
        <v>0</v>
      </c>
      <c r="L243">
        <f t="shared" si="30"/>
        <v>1</v>
      </c>
      <c r="M243">
        <v>0</v>
      </c>
      <c r="N243">
        <v>0</v>
      </c>
      <c r="O243">
        <v>0</v>
      </c>
      <c r="P243">
        <f t="shared" si="31"/>
        <v>0</v>
      </c>
      <c r="Q243">
        <f t="shared" si="32"/>
        <v>0</v>
      </c>
      <c r="R243">
        <v>0</v>
      </c>
      <c r="S243">
        <f t="shared" si="33"/>
        <v>1</v>
      </c>
      <c r="T243">
        <f t="shared" si="34"/>
        <v>1</v>
      </c>
      <c r="U243">
        <f t="shared" si="35"/>
        <v>1</v>
      </c>
      <c r="V243">
        <v>40</v>
      </c>
    </row>
    <row r="244" spans="1:22" x14ac:dyDescent="0.3">
      <c r="A244" t="s">
        <v>251</v>
      </c>
      <c r="B244" t="s">
        <v>288</v>
      </c>
      <c r="C244">
        <v>24</v>
      </c>
      <c r="D244" t="s">
        <v>73</v>
      </c>
      <c r="E244" t="s">
        <v>41</v>
      </c>
      <c r="F244" t="s">
        <v>38</v>
      </c>
      <c r="G244">
        <f t="shared" si="27"/>
        <v>2</v>
      </c>
      <c r="H244">
        <v>911</v>
      </c>
      <c r="I244">
        <f t="shared" si="28"/>
        <v>1</v>
      </c>
      <c r="J244">
        <v>0</v>
      </c>
      <c r="K244">
        <f t="shared" si="29"/>
        <v>0</v>
      </c>
      <c r="L244">
        <f t="shared" si="30"/>
        <v>1</v>
      </c>
      <c r="M244">
        <v>0</v>
      </c>
      <c r="N244">
        <v>0</v>
      </c>
      <c r="O244">
        <v>0</v>
      </c>
      <c r="P244">
        <f t="shared" si="31"/>
        <v>0</v>
      </c>
      <c r="Q244">
        <f t="shared" si="32"/>
        <v>0</v>
      </c>
      <c r="R244">
        <v>0</v>
      </c>
      <c r="S244">
        <f t="shared" si="33"/>
        <v>1</v>
      </c>
      <c r="T244">
        <f t="shared" si="34"/>
        <v>1</v>
      </c>
      <c r="U244">
        <f t="shared" si="35"/>
        <v>0</v>
      </c>
      <c r="V244">
        <v>40</v>
      </c>
    </row>
    <row r="245" spans="1:22" x14ac:dyDescent="0.3">
      <c r="A245" t="s">
        <v>251</v>
      </c>
      <c r="B245" t="s">
        <v>289</v>
      </c>
      <c r="C245">
        <v>23</v>
      </c>
      <c r="D245" t="s">
        <v>56</v>
      </c>
      <c r="E245" t="s">
        <v>37</v>
      </c>
      <c r="F245" t="s">
        <v>38</v>
      </c>
      <c r="G245">
        <f t="shared" si="27"/>
        <v>2</v>
      </c>
      <c r="H245">
        <v>870</v>
      </c>
      <c r="I245">
        <f t="shared" si="28"/>
        <v>1</v>
      </c>
      <c r="J245">
        <v>0</v>
      </c>
      <c r="K245">
        <f t="shared" si="29"/>
        <v>0</v>
      </c>
      <c r="L245">
        <f t="shared" si="30"/>
        <v>0</v>
      </c>
      <c r="M245">
        <v>0</v>
      </c>
      <c r="N245">
        <v>0</v>
      </c>
      <c r="O245">
        <v>0</v>
      </c>
      <c r="P245">
        <f t="shared" si="31"/>
        <v>0</v>
      </c>
      <c r="Q245">
        <f t="shared" si="32"/>
        <v>0</v>
      </c>
      <c r="R245">
        <v>0</v>
      </c>
      <c r="S245">
        <f t="shared" si="33"/>
        <v>0</v>
      </c>
      <c r="T245">
        <f t="shared" si="34"/>
        <v>0</v>
      </c>
      <c r="U245">
        <f t="shared" si="35"/>
        <v>0</v>
      </c>
      <c r="V245">
        <v>40</v>
      </c>
    </row>
    <row r="246" spans="1:22" x14ac:dyDescent="0.3">
      <c r="A246" t="s">
        <v>251</v>
      </c>
      <c r="B246" t="s">
        <v>290</v>
      </c>
      <c r="C246">
        <v>24</v>
      </c>
      <c r="D246" t="s">
        <v>56</v>
      </c>
      <c r="E246" t="s">
        <v>28</v>
      </c>
      <c r="F246" t="s">
        <v>38</v>
      </c>
      <c r="G246">
        <f t="shared" si="27"/>
        <v>2</v>
      </c>
      <c r="H246">
        <v>670</v>
      </c>
      <c r="I246">
        <f t="shared" si="28"/>
        <v>1</v>
      </c>
      <c r="J246">
        <v>0</v>
      </c>
      <c r="K246">
        <f t="shared" si="29"/>
        <v>0</v>
      </c>
      <c r="L246">
        <f t="shared" si="30"/>
        <v>0</v>
      </c>
      <c r="M246">
        <v>0</v>
      </c>
      <c r="N246">
        <v>0</v>
      </c>
      <c r="O246">
        <v>0</v>
      </c>
      <c r="P246">
        <f t="shared" si="31"/>
        <v>0</v>
      </c>
      <c r="Q246">
        <f t="shared" si="32"/>
        <v>0</v>
      </c>
      <c r="R246">
        <v>0</v>
      </c>
      <c r="S246">
        <f t="shared" si="33"/>
        <v>0</v>
      </c>
      <c r="T246">
        <f t="shared" si="34"/>
        <v>0</v>
      </c>
      <c r="U246">
        <f t="shared" si="35"/>
        <v>0</v>
      </c>
      <c r="V246">
        <v>40</v>
      </c>
    </row>
    <row r="247" spans="1:22" x14ac:dyDescent="0.3">
      <c r="A247" t="s">
        <v>251</v>
      </c>
      <c r="B247" t="s">
        <v>291</v>
      </c>
      <c r="C247">
        <v>22</v>
      </c>
      <c r="D247" t="s">
        <v>56</v>
      </c>
      <c r="E247" t="s">
        <v>37</v>
      </c>
      <c r="F247" t="s">
        <v>38</v>
      </c>
      <c r="G247">
        <f t="shared" si="27"/>
        <v>2</v>
      </c>
      <c r="H247">
        <v>384</v>
      </c>
      <c r="I247">
        <f t="shared" si="28"/>
        <v>1</v>
      </c>
      <c r="J247">
        <v>0</v>
      </c>
      <c r="K247">
        <f t="shared" si="29"/>
        <v>0</v>
      </c>
      <c r="L247">
        <f t="shared" si="30"/>
        <v>0</v>
      </c>
      <c r="M247">
        <v>0</v>
      </c>
      <c r="N247">
        <v>0</v>
      </c>
      <c r="O247">
        <v>0</v>
      </c>
      <c r="P247">
        <f t="shared" si="31"/>
        <v>0</v>
      </c>
      <c r="Q247">
        <f t="shared" si="32"/>
        <v>0</v>
      </c>
      <c r="R247">
        <v>0</v>
      </c>
      <c r="S247">
        <f t="shared" si="33"/>
        <v>0</v>
      </c>
      <c r="T247">
        <f t="shared" si="34"/>
        <v>0</v>
      </c>
      <c r="U247">
        <f t="shared" si="35"/>
        <v>0</v>
      </c>
      <c r="V247">
        <v>40</v>
      </c>
    </row>
    <row r="248" spans="1:22" x14ac:dyDescent="0.3">
      <c r="A248" t="s">
        <v>251</v>
      </c>
      <c r="B248" t="s">
        <v>292</v>
      </c>
      <c r="C248">
        <v>20</v>
      </c>
      <c r="D248" t="s">
        <v>56</v>
      </c>
      <c r="E248" t="s">
        <v>37</v>
      </c>
      <c r="F248" t="s">
        <v>38</v>
      </c>
      <c r="G248">
        <f t="shared" si="27"/>
        <v>2</v>
      </c>
      <c r="H248">
        <v>401</v>
      </c>
      <c r="I248">
        <f t="shared" si="28"/>
        <v>1</v>
      </c>
      <c r="J248">
        <v>0</v>
      </c>
      <c r="K248">
        <f t="shared" si="29"/>
        <v>0</v>
      </c>
      <c r="L248">
        <f t="shared" si="30"/>
        <v>0</v>
      </c>
      <c r="M248">
        <v>0</v>
      </c>
      <c r="N248">
        <v>0</v>
      </c>
      <c r="O248">
        <v>0</v>
      </c>
      <c r="P248">
        <f t="shared" si="31"/>
        <v>0</v>
      </c>
      <c r="Q248">
        <f t="shared" si="32"/>
        <v>0</v>
      </c>
      <c r="R248">
        <v>0</v>
      </c>
      <c r="S248">
        <f t="shared" si="33"/>
        <v>0</v>
      </c>
      <c r="T248">
        <f t="shared" si="34"/>
        <v>0</v>
      </c>
      <c r="U248">
        <f t="shared" si="35"/>
        <v>0</v>
      </c>
      <c r="V248">
        <v>40</v>
      </c>
    </row>
    <row r="249" spans="1:22" x14ac:dyDescent="0.3">
      <c r="A249" t="s">
        <v>251</v>
      </c>
      <c r="B249" t="s">
        <v>293</v>
      </c>
      <c r="C249">
        <v>34</v>
      </c>
      <c r="D249" t="s">
        <v>30</v>
      </c>
      <c r="E249" t="s">
        <v>28</v>
      </c>
      <c r="F249" t="s">
        <v>38</v>
      </c>
      <c r="G249">
        <f t="shared" si="27"/>
        <v>2</v>
      </c>
      <c r="H249">
        <v>281</v>
      </c>
      <c r="I249">
        <f t="shared" si="28"/>
        <v>1</v>
      </c>
      <c r="J249">
        <v>0</v>
      </c>
      <c r="K249">
        <f t="shared" si="29"/>
        <v>0</v>
      </c>
      <c r="L249">
        <f t="shared" si="30"/>
        <v>1</v>
      </c>
      <c r="M249">
        <v>0</v>
      </c>
      <c r="N249">
        <v>0</v>
      </c>
      <c r="O249">
        <v>0</v>
      </c>
      <c r="P249">
        <f t="shared" si="31"/>
        <v>0</v>
      </c>
      <c r="Q249">
        <f t="shared" si="32"/>
        <v>0</v>
      </c>
      <c r="R249">
        <v>0</v>
      </c>
      <c r="S249">
        <f t="shared" si="33"/>
        <v>1</v>
      </c>
      <c r="T249">
        <f t="shared" si="34"/>
        <v>1</v>
      </c>
      <c r="U249">
        <f t="shared" si="35"/>
        <v>0</v>
      </c>
      <c r="V249">
        <v>40</v>
      </c>
    </row>
    <row r="250" spans="1:22" x14ac:dyDescent="0.3">
      <c r="A250" t="s">
        <v>251</v>
      </c>
      <c r="B250" t="s">
        <v>136</v>
      </c>
      <c r="C250">
        <v>29</v>
      </c>
      <c r="D250" t="s">
        <v>54</v>
      </c>
      <c r="E250" t="s">
        <v>37</v>
      </c>
      <c r="F250" t="s">
        <v>38</v>
      </c>
      <c r="G250">
        <f t="shared" si="27"/>
        <v>2</v>
      </c>
      <c r="H250">
        <v>280</v>
      </c>
      <c r="I250">
        <f t="shared" si="28"/>
        <v>1</v>
      </c>
      <c r="J250">
        <v>0</v>
      </c>
      <c r="K250">
        <f t="shared" si="29"/>
        <v>0</v>
      </c>
      <c r="L250">
        <f t="shared" si="30"/>
        <v>1</v>
      </c>
      <c r="M250">
        <v>0</v>
      </c>
      <c r="N250">
        <v>0</v>
      </c>
      <c r="O250">
        <v>0</v>
      </c>
      <c r="P250">
        <f t="shared" si="31"/>
        <v>0</v>
      </c>
      <c r="Q250">
        <f t="shared" si="32"/>
        <v>0</v>
      </c>
      <c r="R250">
        <v>0</v>
      </c>
      <c r="S250">
        <f t="shared" si="33"/>
        <v>1</v>
      </c>
      <c r="T250">
        <f t="shared" si="34"/>
        <v>0</v>
      </c>
      <c r="U250">
        <f t="shared" si="35"/>
        <v>0</v>
      </c>
      <c r="V250">
        <v>40</v>
      </c>
    </row>
    <row r="251" spans="1:22" x14ac:dyDescent="0.3">
      <c r="A251" t="s">
        <v>251</v>
      </c>
      <c r="B251" t="s">
        <v>294</v>
      </c>
      <c r="C251">
        <v>24</v>
      </c>
      <c r="D251" t="s">
        <v>73</v>
      </c>
      <c r="E251" t="s">
        <v>31</v>
      </c>
      <c r="F251" t="s">
        <v>38</v>
      </c>
      <c r="G251">
        <f t="shared" si="27"/>
        <v>2</v>
      </c>
      <c r="H251">
        <v>286</v>
      </c>
      <c r="I251">
        <f t="shared" si="28"/>
        <v>1</v>
      </c>
      <c r="J251">
        <v>0</v>
      </c>
      <c r="K251">
        <f t="shared" si="29"/>
        <v>0</v>
      </c>
      <c r="L251">
        <f t="shared" si="30"/>
        <v>1</v>
      </c>
      <c r="M251">
        <v>0</v>
      </c>
      <c r="N251">
        <v>0</v>
      </c>
      <c r="O251">
        <v>0</v>
      </c>
      <c r="P251">
        <f t="shared" si="31"/>
        <v>0</v>
      </c>
      <c r="Q251">
        <f t="shared" si="32"/>
        <v>0</v>
      </c>
      <c r="R251">
        <v>0</v>
      </c>
      <c r="S251">
        <f t="shared" si="33"/>
        <v>1</v>
      </c>
      <c r="T251">
        <f t="shared" si="34"/>
        <v>1</v>
      </c>
      <c r="U251">
        <f t="shared" si="35"/>
        <v>0</v>
      </c>
      <c r="V251">
        <v>40</v>
      </c>
    </row>
    <row r="252" spans="1:22" x14ac:dyDescent="0.3">
      <c r="A252" t="s">
        <v>251</v>
      </c>
      <c r="B252" t="s">
        <v>295</v>
      </c>
      <c r="C252">
        <v>28</v>
      </c>
      <c r="D252" t="s">
        <v>73</v>
      </c>
      <c r="E252" t="s">
        <v>34</v>
      </c>
      <c r="F252" t="s">
        <v>38</v>
      </c>
      <c r="G252">
        <f t="shared" si="27"/>
        <v>2</v>
      </c>
      <c r="H252">
        <v>345</v>
      </c>
      <c r="I252">
        <f t="shared" si="28"/>
        <v>1</v>
      </c>
      <c r="J252">
        <v>0</v>
      </c>
      <c r="K252">
        <f t="shared" si="29"/>
        <v>0</v>
      </c>
      <c r="L252">
        <f t="shared" si="30"/>
        <v>1</v>
      </c>
      <c r="M252">
        <v>0</v>
      </c>
      <c r="N252">
        <v>0</v>
      </c>
      <c r="O252">
        <v>0</v>
      </c>
      <c r="P252">
        <f t="shared" si="31"/>
        <v>0</v>
      </c>
      <c r="Q252">
        <f t="shared" si="32"/>
        <v>0</v>
      </c>
      <c r="R252">
        <v>0</v>
      </c>
      <c r="S252">
        <f t="shared" si="33"/>
        <v>1</v>
      </c>
      <c r="T252">
        <f t="shared" si="34"/>
        <v>1</v>
      </c>
      <c r="U252">
        <f t="shared" si="35"/>
        <v>0</v>
      </c>
      <c r="V252">
        <v>40</v>
      </c>
    </row>
    <row r="253" spans="1:22" x14ac:dyDescent="0.3">
      <c r="A253" t="s">
        <v>251</v>
      </c>
      <c r="B253" t="s">
        <v>296</v>
      </c>
      <c r="C253">
        <v>28</v>
      </c>
      <c r="D253" t="s">
        <v>54</v>
      </c>
      <c r="E253" t="s">
        <v>25</v>
      </c>
      <c r="F253" t="s">
        <v>38</v>
      </c>
      <c r="G253">
        <f t="shared" si="27"/>
        <v>2</v>
      </c>
      <c r="H253">
        <v>216</v>
      </c>
      <c r="I253">
        <f t="shared" si="28"/>
        <v>1</v>
      </c>
      <c r="J253">
        <v>0</v>
      </c>
      <c r="K253">
        <f t="shared" si="29"/>
        <v>0</v>
      </c>
      <c r="L253">
        <f t="shared" si="30"/>
        <v>1</v>
      </c>
      <c r="M253">
        <v>0</v>
      </c>
      <c r="N253">
        <v>0</v>
      </c>
      <c r="O253">
        <v>0</v>
      </c>
      <c r="P253">
        <f t="shared" si="31"/>
        <v>0</v>
      </c>
      <c r="Q253">
        <f t="shared" si="32"/>
        <v>0</v>
      </c>
      <c r="R253">
        <v>0</v>
      </c>
      <c r="S253">
        <f t="shared" si="33"/>
        <v>1</v>
      </c>
      <c r="T253">
        <f t="shared" si="34"/>
        <v>0</v>
      </c>
      <c r="U253">
        <f t="shared" si="35"/>
        <v>0</v>
      </c>
      <c r="V253">
        <v>40</v>
      </c>
    </row>
    <row r="254" spans="1:22" x14ac:dyDescent="0.3">
      <c r="A254" t="s">
        <v>251</v>
      </c>
      <c r="B254" t="s">
        <v>297</v>
      </c>
      <c r="C254">
        <v>32</v>
      </c>
      <c r="D254" t="s">
        <v>54</v>
      </c>
      <c r="E254" t="s">
        <v>34</v>
      </c>
      <c r="F254" t="s">
        <v>38</v>
      </c>
      <c r="G254">
        <f t="shared" si="27"/>
        <v>2</v>
      </c>
      <c r="H254">
        <v>61</v>
      </c>
      <c r="I254">
        <f t="shared" si="28"/>
        <v>1</v>
      </c>
      <c r="J254">
        <v>0</v>
      </c>
      <c r="K254">
        <f t="shared" si="29"/>
        <v>0</v>
      </c>
      <c r="L254">
        <f t="shared" si="30"/>
        <v>1</v>
      </c>
      <c r="M254">
        <v>0</v>
      </c>
      <c r="N254">
        <v>0</v>
      </c>
      <c r="O254">
        <v>0</v>
      </c>
      <c r="P254">
        <f t="shared" si="31"/>
        <v>0</v>
      </c>
      <c r="Q254">
        <f t="shared" si="32"/>
        <v>0</v>
      </c>
      <c r="R254">
        <v>0</v>
      </c>
      <c r="S254">
        <f t="shared" si="33"/>
        <v>1</v>
      </c>
      <c r="T254">
        <f t="shared" si="34"/>
        <v>1</v>
      </c>
      <c r="U254">
        <f t="shared" si="35"/>
        <v>0</v>
      </c>
      <c r="V254">
        <v>40</v>
      </c>
    </row>
    <row r="255" spans="1:22" x14ac:dyDescent="0.3">
      <c r="A255" t="s">
        <v>251</v>
      </c>
      <c r="B255" t="s">
        <v>298</v>
      </c>
      <c r="C255">
        <v>23</v>
      </c>
      <c r="D255" t="s">
        <v>73</v>
      </c>
      <c r="E255" t="s">
        <v>28</v>
      </c>
      <c r="F255" t="s">
        <v>38</v>
      </c>
      <c r="G255">
        <f t="shared" si="27"/>
        <v>2</v>
      </c>
      <c r="H255">
        <v>132</v>
      </c>
      <c r="I255">
        <f t="shared" si="28"/>
        <v>1</v>
      </c>
      <c r="J255">
        <v>0</v>
      </c>
      <c r="K255">
        <f t="shared" si="29"/>
        <v>0</v>
      </c>
      <c r="L255">
        <f t="shared" si="30"/>
        <v>1</v>
      </c>
      <c r="M255">
        <v>0</v>
      </c>
      <c r="N255">
        <v>0</v>
      </c>
      <c r="O255">
        <v>0</v>
      </c>
      <c r="P255">
        <f t="shared" si="31"/>
        <v>0</v>
      </c>
      <c r="Q255">
        <f t="shared" si="32"/>
        <v>0</v>
      </c>
      <c r="R255">
        <v>0</v>
      </c>
      <c r="S255">
        <f t="shared" si="33"/>
        <v>1</v>
      </c>
      <c r="T255">
        <f t="shared" si="34"/>
        <v>1</v>
      </c>
      <c r="U255">
        <f t="shared" si="35"/>
        <v>0</v>
      </c>
      <c r="V255">
        <v>40</v>
      </c>
    </row>
    <row r="256" spans="1:22" x14ac:dyDescent="0.3">
      <c r="A256" t="s">
        <v>251</v>
      </c>
      <c r="B256" t="s">
        <v>299</v>
      </c>
      <c r="C256">
        <v>13</v>
      </c>
      <c r="D256" t="s">
        <v>56</v>
      </c>
      <c r="E256" t="s">
        <v>31</v>
      </c>
      <c r="F256" t="s">
        <v>60</v>
      </c>
      <c r="G256">
        <f t="shared" si="27"/>
        <v>1</v>
      </c>
      <c r="H256">
        <v>0</v>
      </c>
      <c r="I256">
        <f t="shared" si="28"/>
        <v>1</v>
      </c>
      <c r="J256">
        <v>0</v>
      </c>
      <c r="K256">
        <f t="shared" si="29"/>
        <v>0</v>
      </c>
      <c r="L256">
        <f t="shared" si="30"/>
        <v>0</v>
      </c>
      <c r="M256">
        <v>0</v>
      </c>
      <c r="N256">
        <v>0</v>
      </c>
      <c r="O256">
        <v>0</v>
      </c>
      <c r="P256">
        <f t="shared" si="31"/>
        <v>0</v>
      </c>
      <c r="Q256">
        <f t="shared" si="32"/>
        <v>0</v>
      </c>
      <c r="R256">
        <v>0</v>
      </c>
      <c r="S256">
        <f t="shared" si="33"/>
        <v>0</v>
      </c>
      <c r="T256">
        <f t="shared" si="34"/>
        <v>0</v>
      </c>
      <c r="U256">
        <f t="shared" si="35"/>
        <v>0</v>
      </c>
      <c r="V256">
        <v>40</v>
      </c>
    </row>
    <row r="257" spans="1:22" x14ac:dyDescent="0.3">
      <c r="A257" t="s">
        <v>251</v>
      </c>
      <c r="B257" t="s">
        <v>300</v>
      </c>
      <c r="C257">
        <v>34</v>
      </c>
      <c r="D257" t="s">
        <v>56</v>
      </c>
      <c r="E257" t="s">
        <v>31</v>
      </c>
      <c r="F257" t="s">
        <v>65</v>
      </c>
      <c r="G257">
        <f t="shared" si="27"/>
        <v>3</v>
      </c>
      <c r="H257">
        <v>0</v>
      </c>
      <c r="I257">
        <f t="shared" si="28"/>
        <v>1</v>
      </c>
      <c r="J257">
        <v>0</v>
      </c>
      <c r="K257">
        <f t="shared" si="29"/>
        <v>0</v>
      </c>
      <c r="L257">
        <f t="shared" si="30"/>
        <v>0</v>
      </c>
      <c r="M257">
        <v>0</v>
      </c>
      <c r="N257">
        <v>0</v>
      </c>
      <c r="O257">
        <v>0</v>
      </c>
      <c r="P257">
        <f t="shared" si="31"/>
        <v>0</v>
      </c>
      <c r="Q257">
        <f t="shared" si="32"/>
        <v>0</v>
      </c>
      <c r="R257">
        <v>0</v>
      </c>
      <c r="S257">
        <f t="shared" si="33"/>
        <v>0</v>
      </c>
      <c r="T257">
        <f t="shared" si="34"/>
        <v>0</v>
      </c>
      <c r="U257">
        <f t="shared" si="35"/>
        <v>0</v>
      </c>
      <c r="V257">
        <v>40</v>
      </c>
    </row>
    <row r="258" spans="1:22" x14ac:dyDescent="0.3">
      <c r="A258" t="s">
        <v>251</v>
      </c>
      <c r="B258" t="s">
        <v>301</v>
      </c>
      <c r="C258">
        <v>36</v>
      </c>
      <c r="D258" t="s">
        <v>54</v>
      </c>
      <c r="E258" t="s">
        <v>31</v>
      </c>
      <c r="F258" t="s">
        <v>38</v>
      </c>
      <c r="G258">
        <f t="shared" si="27"/>
        <v>2</v>
      </c>
      <c r="H258">
        <v>0</v>
      </c>
      <c r="I258">
        <f t="shared" si="28"/>
        <v>1</v>
      </c>
      <c r="J258">
        <v>0</v>
      </c>
      <c r="K258">
        <f t="shared" si="29"/>
        <v>0</v>
      </c>
      <c r="L258">
        <f t="shared" si="30"/>
        <v>1</v>
      </c>
      <c r="M258">
        <v>0</v>
      </c>
      <c r="N258">
        <v>0</v>
      </c>
      <c r="O258">
        <v>0</v>
      </c>
      <c r="P258">
        <f t="shared" si="31"/>
        <v>0</v>
      </c>
      <c r="Q258">
        <f t="shared" si="32"/>
        <v>0</v>
      </c>
      <c r="R258">
        <v>0</v>
      </c>
      <c r="S258">
        <f t="shared" si="33"/>
        <v>1</v>
      </c>
      <c r="T258">
        <f t="shared" si="34"/>
        <v>1</v>
      </c>
      <c r="U258">
        <f t="shared" si="35"/>
        <v>0</v>
      </c>
      <c r="V258">
        <v>40</v>
      </c>
    </row>
    <row r="259" spans="1:22" x14ac:dyDescent="0.3">
      <c r="A259" t="s">
        <v>251</v>
      </c>
      <c r="B259" t="s">
        <v>302</v>
      </c>
      <c r="C259">
        <v>29</v>
      </c>
      <c r="D259" t="s">
        <v>56</v>
      </c>
      <c r="E259" t="s">
        <v>41</v>
      </c>
      <c r="F259" t="s">
        <v>65</v>
      </c>
      <c r="G259">
        <f t="shared" si="27"/>
        <v>3</v>
      </c>
      <c r="H259">
        <v>0</v>
      </c>
      <c r="I259">
        <f t="shared" si="28"/>
        <v>1</v>
      </c>
      <c r="J259">
        <v>0</v>
      </c>
      <c r="K259">
        <f t="shared" si="29"/>
        <v>0</v>
      </c>
      <c r="L259">
        <f t="shared" si="30"/>
        <v>0</v>
      </c>
      <c r="M259">
        <v>0</v>
      </c>
      <c r="N259">
        <v>0</v>
      </c>
      <c r="O259">
        <v>0</v>
      </c>
      <c r="P259">
        <f t="shared" si="31"/>
        <v>0</v>
      </c>
      <c r="Q259">
        <f t="shared" si="32"/>
        <v>0</v>
      </c>
      <c r="R259">
        <v>0</v>
      </c>
      <c r="S259">
        <f t="shared" si="33"/>
        <v>0</v>
      </c>
      <c r="T259">
        <f t="shared" si="34"/>
        <v>0</v>
      </c>
      <c r="U259">
        <f t="shared" si="35"/>
        <v>0</v>
      </c>
      <c r="V259">
        <v>40</v>
      </c>
    </row>
    <row r="260" spans="1:22" x14ac:dyDescent="0.3">
      <c r="A260" t="s">
        <v>251</v>
      </c>
      <c r="B260" t="s">
        <v>303</v>
      </c>
      <c r="C260">
        <v>32</v>
      </c>
      <c r="D260" t="s">
        <v>56</v>
      </c>
      <c r="E260" t="s">
        <v>31</v>
      </c>
      <c r="F260" t="s">
        <v>65</v>
      </c>
      <c r="G260">
        <f t="shared" si="27"/>
        <v>3</v>
      </c>
      <c r="H260">
        <v>0</v>
      </c>
      <c r="I260">
        <f t="shared" si="28"/>
        <v>1</v>
      </c>
      <c r="J260">
        <v>0</v>
      </c>
      <c r="K260">
        <f t="shared" si="29"/>
        <v>0</v>
      </c>
      <c r="L260">
        <f t="shared" si="30"/>
        <v>0</v>
      </c>
      <c r="M260">
        <v>0</v>
      </c>
      <c r="N260">
        <v>0</v>
      </c>
      <c r="O260">
        <v>0</v>
      </c>
      <c r="P260">
        <f t="shared" si="31"/>
        <v>0</v>
      </c>
      <c r="Q260">
        <f t="shared" si="32"/>
        <v>0</v>
      </c>
      <c r="R260">
        <v>0</v>
      </c>
      <c r="S260">
        <f t="shared" si="33"/>
        <v>0</v>
      </c>
      <c r="T260">
        <f t="shared" si="34"/>
        <v>0</v>
      </c>
      <c r="U260">
        <f t="shared" si="35"/>
        <v>0</v>
      </c>
      <c r="V260">
        <v>40</v>
      </c>
    </row>
    <row r="261" spans="1:22" x14ac:dyDescent="0.3">
      <c r="A261" t="s">
        <v>251</v>
      </c>
      <c r="B261" t="s">
        <v>304</v>
      </c>
      <c r="C261">
        <v>20</v>
      </c>
      <c r="D261" t="s">
        <v>30</v>
      </c>
      <c r="E261" t="s">
        <v>31</v>
      </c>
      <c r="F261" t="s">
        <v>60</v>
      </c>
      <c r="G261">
        <f t="shared" si="27"/>
        <v>1</v>
      </c>
      <c r="H261">
        <v>0</v>
      </c>
      <c r="I261">
        <f t="shared" si="28"/>
        <v>1</v>
      </c>
      <c r="J261">
        <v>0</v>
      </c>
      <c r="K261">
        <f t="shared" si="29"/>
        <v>0</v>
      </c>
      <c r="L261">
        <f t="shared" si="30"/>
        <v>1</v>
      </c>
      <c r="M261">
        <v>0</v>
      </c>
      <c r="N261">
        <v>0</v>
      </c>
      <c r="O261">
        <v>0</v>
      </c>
      <c r="P261">
        <f t="shared" si="31"/>
        <v>0</v>
      </c>
      <c r="Q261">
        <f t="shared" si="32"/>
        <v>0</v>
      </c>
      <c r="R261">
        <v>0</v>
      </c>
      <c r="S261">
        <f t="shared" si="33"/>
        <v>1</v>
      </c>
      <c r="T261">
        <f t="shared" si="34"/>
        <v>1</v>
      </c>
      <c r="U261">
        <f t="shared" si="35"/>
        <v>0</v>
      </c>
      <c r="V261">
        <v>40</v>
      </c>
    </row>
    <row r="262" spans="1:22" x14ac:dyDescent="0.3">
      <c r="A262" t="s">
        <v>251</v>
      </c>
      <c r="B262" t="s">
        <v>305</v>
      </c>
      <c r="C262">
        <v>26</v>
      </c>
      <c r="D262" t="s">
        <v>73</v>
      </c>
      <c r="E262" t="s">
        <v>31</v>
      </c>
      <c r="F262" t="s">
        <v>38</v>
      </c>
      <c r="G262">
        <f t="shared" si="27"/>
        <v>2</v>
      </c>
      <c r="H262">
        <v>0</v>
      </c>
      <c r="I262">
        <f t="shared" si="28"/>
        <v>1</v>
      </c>
      <c r="J262">
        <v>0</v>
      </c>
      <c r="K262">
        <f t="shared" si="29"/>
        <v>0</v>
      </c>
      <c r="L262">
        <f t="shared" si="30"/>
        <v>1</v>
      </c>
      <c r="M262">
        <v>0</v>
      </c>
      <c r="N262">
        <v>0</v>
      </c>
      <c r="O262">
        <v>0</v>
      </c>
      <c r="P262">
        <f t="shared" si="31"/>
        <v>0</v>
      </c>
      <c r="Q262">
        <f t="shared" si="32"/>
        <v>0</v>
      </c>
      <c r="R262">
        <v>0</v>
      </c>
      <c r="S262">
        <f t="shared" si="33"/>
        <v>1</v>
      </c>
      <c r="T262">
        <f t="shared" si="34"/>
        <v>1</v>
      </c>
      <c r="U262">
        <f t="shared" si="35"/>
        <v>0</v>
      </c>
      <c r="V262">
        <v>40</v>
      </c>
    </row>
    <row r="263" spans="1:22" x14ac:dyDescent="0.3">
      <c r="A263" t="s">
        <v>251</v>
      </c>
      <c r="B263" t="s">
        <v>306</v>
      </c>
      <c r="C263">
        <v>12</v>
      </c>
      <c r="D263" t="s">
        <v>56</v>
      </c>
      <c r="E263" t="s">
        <v>41</v>
      </c>
      <c r="F263" t="s">
        <v>60</v>
      </c>
      <c r="G263">
        <f t="shared" si="27"/>
        <v>1</v>
      </c>
      <c r="H263">
        <v>0</v>
      </c>
      <c r="I263">
        <f t="shared" si="28"/>
        <v>1</v>
      </c>
      <c r="J263">
        <v>0</v>
      </c>
      <c r="K263">
        <f t="shared" si="29"/>
        <v>0</v>
      </c>
      <c r="L263">
        <f t="shared" si="30"/>
        <v>0</v>
      </c>
      <c r="M263">
        <v>0</v>
      </c>
      <c r="N263">
        <v>0</v>
      </c>
      <c r="O263">
        <v>0</v>
      </c>
      <c r="P263">
        <f t="shared" si="31"/>
        <v>0</v>
      </c>
      <c r="Q263">
        <f t="shared" si="32"/>
        <v>0</v>
      </c>
      <c r="R263">
        <v>0</v>
      </c>
      <c r="S263">
        <f t="shared" si="33"/>
        <v>0</v>
      </c>
      <c r="T263">
        <f t="shared" si="34"/>
        <v>0</v>
      </c>
      <c r="U263">
        <f t="shared" si="35"/>
        <v>0</v>
      </c>
      <c r="V263">
        <v>40</v>
      </c>
    </row>
    <row r="264" spans="1:22" x14ac:dyDescent="0.3">
      <c r="A264" t="s">
        <v>251</v>
      </c>
      <c r="B264" t="s">
        <v>307</v>
      </c>
      <c r="C264">
        <v>35</v>
      </c>
      <c r="D264" t="s">
        <v>30</v>
      </c>
      <c r="E264" t="s">
        <v>31</v>
      </c>
      <c r="F264" t="s">
        <v>38</v>
      </c>
      <c r="G264">
        <f t="shared" si="27"/>
        <v>2</v>
      </c>
      <c r="H264">
        <v>0</v>
      </c>
      <c r="I264">
        <f t="shared" si="28"/>
        <v>1</v>
      </c>
      <c r="J264">
        <v>0</v>
      </c>
      <c r="K264">
        <f t="shared" si="29"/>
        <v>0</v>
      </c>
      <c r="L264">
        <f t="shared" si="30"/>
        <v>1</v>
      </c>
      <c r="M264">
        <v>0</v>
      </c>
      <c r="N264">
        <v>0</v>
      </c>
      <c r="O264">
        <v>0</v>
      </c>
      <c r="P264">
        <f t="shared" si="31"/>
        <v>0</v>
      </c>
      <c r="Q264">
        <f t="shared" si="32"/>
        <v>0</v>
      </c>
      <c r="R264">
        <v>0</v>
      </c>
      <c r="S264">
        <f t="shared" si="33"/>
        <v>1</v>
      </c>
      <c r="T264">
        <f t="shared" si="34"/>
        <v>1</v>
      </c>
      <c r="U264">
        <f t="shared" si="35"/>
        <v>0</v>
      </c>
      <c r="V264">
        <v>40</v>
      </c>
    </row>
    <row r="265" spans="1:22" x14ac:dyDescent="0.3">
      <c r="A265" t="s">
        <v>251</v>
      </c>
      <c r="B265" t="s">
        <v>308</v>
      </c>
      <c r="C265">
        <v>34</v>
      </c>
      <c r="D265" t="s">
        <v>54</v>
      </c>
      <c r="E265" t="s">
        <v>31</v>
      </c>
      <c r="F265" t="s">
        <v>38</v>
      </c>
      <c r="G265">
        <f t="shared" si="27"/>
        <v>2</v>
      </c>
      <c r="H265">
        <v>0</v>
      </c>
      <c r="I265">
        <f t="shared" si="28"/>
        <v>1</v>
      </c>
      <c r="J265">
        <v>0</v>
      </c>
      <c r="K265">
        <f t="shared" si="29"/>
        <v>0</v>
      </c>
      <c r="L265">
        <f t="shared" si="30"/>
        <v>1</v>
      </c>
      <c r="M265">
        <v>0</v>
      </c>
      <c r="N265">
        <v>0</v>
      </c>
      <c r="O265">
        <v>0</v>
      </c>
      <c r="P265">
        <f t="shared" si="31"/>
        <v>0</v>
      </c>
      <c r="Q265">
        <f t="shared" si="32"/>
        <v>0</v>
      </c>
      <c r="R265">
        <v>0</v>
      </c>
      <c r="S265">
        <f t="shared" si="33"/>
        <v>1</v>
      </c>
      <c r="T265">
        <f t="shared" si="34"/>
        <v>1</v>
      </c>
      <c r="U265">
        <f t="shared" si="35"/>
        <v>0</v>
      </c>
      <c r="V265">
        <v>40</v>
      </c>
    </row>
    <row r="266" spans="1:22" x14ac:dyDescent="0.3">
      <c r="A266" t="s">
        <v>251</v>
      </c>
      <c r="B266" t="s">
        <v>309</v>
      </c>
      <c r="C266">
        <v>13</v>
      </c>
      <c r="D266" t="s">
        <v>56</v>
      </c>
      <c r="E266" t="s">
        <v>31</v>
      </c>
      <c r="F266" t="s">
        <v>60</v>
      </c>
      <c r="G266">
        <f t="shared" si="27"/>
        <v>1</v>
      </c>
      <c r="H266">
        <v>0</v>
      </c>
      <c r="I266">
        <f t="shared" si="28"/>
        <v>1</v>
      </c>
      <c r="J266">
        <v>0</v>
      </c>
      <c r="K266">
        <f t="shared" si="29"/>
        <v>0</v>
      </c>
      <c r="L266">
        <f t="shared" si="30"/>
        <v>0</v>
      </c>
      <c r="M266">
        <v>0</v>
      </c>
      <c r="N266">
        <v>0</v>
      </c>
      <c r="O266">
        <v>0</v>
      </c>
      <c r="P266">
        <f t="shared" si="31"/>
        <v>0</v>
      </c>
      <c r="Q266">
        <f t="shared" si="32"/>
        <v>0</v>
      </c>
      <c r="R266">
        <v>0</v>
      </c>
      <c r="S266">
        <f t="shared" si="33"/>
        <v>0</v>
      </c>
      <c r="T266">
        <f t="shared" si="34"/>
        <v>0</v>
      </c>
      <c r="U266">
        <f t="shared" si="35"/>
        <v>0</v>
      </c>
      <c r="V266">
        <v>40</v>
      </c>
    </row>
    <row r="267" spans="1:22" x14ac:dyDescent="0.3">
      <c r="A267" t="s">
        <v>251</v>
      </c>
      <c r="B267" t="s">
        <v>310</v>
      </c>
      <c r="C267">
        <v>19</v>
      </c>
      <c r="D267" t="s">
        <v>54</v>
      </c>
      <c r="E267" t="s">
        <v>31</v>
      </c>
      <c r="F267" t="s">
        <v>60</v>
      </c>
      <c r="G267">
        <f t="shared" si="27"/>
        <v>1</v>
      </c>
      <c r="H267">
        <v>0</v>
      </c>
      <c r="I267">
        <f t="shared" si="28"/>
        <v>1</v>
      </c>
      <c r="J267">
        <v>0</v>
      </c>
      <c r="K267">
        <f t="shared" si="29"/>
        <v>0</v>
      </c>
      <c r="L267">
        <f t="shared" si="30"/>
        <v>1</v>
      </c>
      <c r="M267">
        <v>0</v>
      </c>
      <c r="N267">
        <v>0</v>
      </c>
      <c r="O267">
        <v>0</v>
      </c>
      <c r="P267">
        <f t="shared" si="31"/>
        <v>0</v>
      </c>
      <c r="Q267">
        <f t="shared" si="32"/>
        <v>0</v>
      </c>
      <c r="R267">
        <v>0</v>
      </c>
      <c r="S267">
        <f t="shared" si="33"/>
        <v>1</v>
      </c>
      <c r="T267">
        <f t="shared" si="34"/>
        <v>1</v>
      </c>
      <c r="U267">
        <f t="shared" si="35"/>
        <v>0</v>
      </c>
      <c r="V267">
        <v>40</v>
      </c>
    </row>
    <row r="268" spans="1:22" x14ac:dyDescent="0.3">
      <c r="A268" t="s">
        <v>251</v>
      </c>
      <c r="B268" t="s">
        <v>311</v>
      </c>
      <c r="C268">
        <v>26</v>
      </c>
      <c r="D268" t="s">
        <v>73</v>
      </c>
      <c r="E268" t="s">
        <v>31</v>
      </c>
      <c r="F268" t="s">
        <v>38</v>
      </c>
      <c r="G268">
        <f t="shared" si="27"/>
        <v>2</v>
      </c>
      <c r="H268">
        <v>0</v>
      </c>
      <c r="I268">
        <f t="shared" si="28"/>
        <v>1</v>
      </c>
      <c r="J268">
        <v>0</v>
      </c>
      <c r="K268">
        <f t="shared" si="29"/>
        <v>0</v>
      </c>
      <c r="L268">
        <f t="shared" si="30"/>
        <v>1</v>
      </c>
      <c r="M268">
        <v>0</v>
      </c>
      <c r="N268">
        <v>0</v>
      </c>
      <c r="O268">
        <v>0</v>
      </c>
      <c r="P268">
        <f t="shared" si="31"/>
        <v>0</v>
      </c>
      <c r="Q268">
        <f t="shared" si="32"/>
        <v>0</v>
      </c>
      <c r="R268">
        <v>0</v>
      </c>
      <c r="S268">
        <f t="shared" si="33"/>
        <v>1</v>
      </c>
      <c r="T268">
        <f t="shared" si="34"/>
        <v>1</v>
      </c>
      <c r="U268">
        <f t="shared" si="35"/>
        <v>0</v>
      </c>
      <c r="V268">
        <v>40</v>
      </c>
    </row>
    <row r="269" spans="1:22" x14ac:dyDescent="0.3">
      <c r="A269" t="s">
        <v>251</v>
      </c>
      <c r="B269" t="s">
        <v>312</v>
      </c>
      <c r="C269">
        <v>14</v>
      </c>
      <c r="D269" t="s">
        <v>313</v>
      </c>
      <c r="E269" t="s">
        <v>41</v>
      </c>
      <c r="F269" t="s">
        <v>60</v>
      </c>
      <c r="G269">
        <f t="shared" si="27"/>
        <v>1</v>
      </c>
      <c r="H269">
        <v>0</v>
      </c>
      <c r="I269">
        <f t="shared" si="28"/>
        <v>0</v>
      </c>
      <c r="J269">
        <v>0</v>
      </c>
      <c r="K269">
        <f t="shared" si="29"/>
        <v>0</v>
      </c>
      <c r="L269">
        <f t="shared" si="30"/>
        <v>0</v>
      </c>
      <c r="M269">
        <v>0</v>
      </c>
      <c r="N269">
        <v>0</v>
      </c>
      <c r="O269">
        <v>0</v>
      </c>
      <c r="P269">
        <f t="shared" si="31"/>
        <v>0</v>
      </c>
      <c r="Q269">
        <f t="shared" si="32"/>
        <v>0</v>
      </c>
      <c r="R269">
        <v>0</v>
      </c>
      <c r="S269">
        <f t="shared" si="33"/>
        <v>0</v>
      </c>
      <c r="T269">
        <f t="shared" si="34"/>
        <v>0</v>
      </c>
      <c r="U269">
        <f t="shared" si="35"/>
        <v>0</v>
      </c>
      <c r="V269">
        <v>40</v>
      </c>
    </row>
    <row r="270" spans="1:22" x14ac:dyDescent="0.3">
      <c r="A270" t="s">
        <v>251</v>
      </c>
      <c r="B270" t="s">
        <v>314</v>
      </c>
      <c r="C270">
        <v>13</v>
      </c>
      <c r="D270" t="s">
        <v>313</v>
      </c>
      <c r="E270" t="s">
        <v>31</v>
      </c>
      <c r="F270" t="s">
        <v>60</v>
      </c>
      <c r="G270">
        <f t="shared" si="27"/>
        <v>1</v>
      </c>
      <c r="H270">
        <v>0</v>
      </c>
      <c r="I270">
        <f t="shared" si="28"/>
        <v>0</v>
      </c>
      <c r="J270">
        <v>0</v>
      </c>
      <c r="K270">
        <f t="shared" si="29"/>
        <v>0</v>
      </c>
      <c r="L270">
        <f t="shared" si="30"/>
        <v>0</v>
      </c>
      <c r="M270">
        <v>0</v>
      </c>
      <c r="N270">
        <v>0</v>
      </c>
      <c r="O270">
        <v>0</v>
      </c>
      <c r="P270">
        <f t="shared" si="31"/>
        <v>0</v>
      </c>
      <c r="Q270">
        <f t="shared" si="32"/>
        <v>0</v>
      </c>
      <c r="R270">
        <v>0</v>
      </c>
      <c r="S270">
        <f t="shared" si="33"/>
        <v>0</v>
      </c>
      <c r="T270">
        <f t="shared" si="34"/>
        <v>0</v>
      </c>
      <c r="U270">
        <f t="shared" si="35"/>
        <v>0</v>
      </c>
      <c r="V270">
        <v>40</v>
      </c>
    </row>
    <row r="271" spans="1:22" x14ac:dyDescent="0.3">
      <c r="A271" t="s">
        <v>251</v>
      </c>
      <c r="B271" t="s">
        <v>315</v>
      </c>
      <c r="C271">
        <v>8</v>
      </c>
      <c r="D271" t="s">
        <v>316</v>
      </c>
      <c r="E271" t="s">
        <v>37</v>
      </c>
      <c r="F271" t="s">
        <v>60</v>
      </c>
      <c r="G271">
        <f t="shared" si="27"/>
        <v>1</v>
      </c>
      <c r="H271">
        <v>0</v>
      </c>
      <c r="I271">
        <f t="shared" si="28"/>
        <v>0</v>
      </c>
      <c r="J271">
        <v>0</v>
      </c>
      <c r="K271">
        <f t="shared" si="29"/>
        <v>0</v>
      </c>
      <c r="L271">
        <f t="shared" si="30"/>
        <v>0</v>
      </c>
      <c r="M271">
        <v>0</v>
      </c>
      <c r="N271">
        <v>0</v>
      </c>
      <c r="O271">
        <v>0</v>
      </c>
      <c r="P271">
        <f t="shared" si="31"/>
        <v>0</v>
      </c>
      <c r="Q271">
        <f t="shared" si="32"/>
        <v>0</v>
      </c>
      <c r="R271">
        <v>0</v>
      </c>
      <c r="S271">
        <f t="shared" si="33"/>
        <v>0</v>
      </c>
      <c r="T271">
        <f t="shared" si="34"/>
        <v>0</v>
      </c>
      <c r="U271">
        <f t="shared" si="35"/>
        <v>0</v>
      </c>
      <c r="V271">
        <v>40</v>
      </c>
    </row>
    <row r="272" spans="1:22" x14ac:dyDescent="0.3">
      <c r="A272" t="s">
        <v>317</v>
      </c>
      <c r="B272" t="s">
        <v>318</v>
      </c>
      <c r="C272">
        <v>27</v>
      </c>
      <c r="D272" t="s">
        <v>36</v>
      </c>
      <c r="E272" t="s">
        <v>28</v>
      </c>
      <c r="F272" t="s">
        <v>38</v>
      </c>
      <c r="G272">
        <f t="shared" si="27"/>
        <v>2</v>
      </c>
      <c r="H272">
        <v>914</v>
      </c>
      <c r="I272">
        <f>IF(OR(D272="QB", D272="RB", D272="WR", D272="TE", D272="OL", D272="LB"), 1, 0)</f>
        <v>1</v>
      </c>
      <c r="J272">
        <v>0</v>
      </c>
      <c r="K272">
        <f>IF(OR(D272="QB", D272="WR", D272="TE"), 1, 0)</f>
        <v>1</v>
      </c>
      <c r="L272">
        <v>0</v>
      </c>
      <c r="M272">
        <f>IF(OR(D272="CB", D272="S"), 1, 0)</f>
        <v>0</v>
      </c>
      <c r="N272">
        <f>IF(AND(OR(D272="QB", D272="RB", D272="WR", D272="TE", D272="OL"), OR(E272="FR", E272="SO", E272="FR (RS)", E272="SO (RS)")), 1, 0)</f>
        <v>1</v>
      </c>
      <c r="O272">
        <f>IF(AND(OR(D272="QB", D272="RB", D272="WR", D272="TE", D272="OL"), H272&gt;300), 1, 0)</f>
        <v>1</v>
      </c>
      <c r="P272">
        <v>0</v>
      </c>
      <c r="Q272">
        <f>IF(AND(OR(D272="QB", D272="WR", D272="TE"), OR(E272="FR", E272="SO", E272="FR (RS)", E272="SO (RS)")), 1, 0)</f>
        <v>1</v>
      </c>
      <c r="R272">
        <f>IF(AND(OR(D272="WR", D272="TE"), H272&gt;300), 1, 0)</f>
        <v>0</v>
      </c>
      <c r="S272">
        <v>0</v>
      </c>
      <c r="T272">
        <v>0</v>
      </c>
      <c r="U272">
        <v>0</v>
      </c>
      <c r="V272">
        <v>50</v>
      </c>
    </row>
    <row r="273" spans="1:22" x14ac:dyDescent="0.3">
      <c r="A273" t="s">
        <v>317</v>
      </c>
      <c r="B273" t="s">
        <v>319</v>
      </c>
      <c r="C273">
        <v>26</v>
      </c>
      <c r="D273" t="s">
        <v>36</v>
      </c>
      <c r="E273" t="s">
        <v>37</v>
      </c>
      <c r="F273" t="s">
        <v>65</v>
      </c>
      <c r="G273">
        <f t="shared" si="27"/>
        <v>3</v>
      </c>
      <c r="H273">
        <v>0</v>
      </c>
      <c r="I273">
        <f t="shared" ref="I273:I336" si="36">IF(OR(D273="QB", D273="RB", D273="WR", D273="TE", D273="OL", D273="LB"), 1, 0)</f>
        <v>1</v>
      </c>
      <c r="J273">
        <v>0</v>
      </c>
      <c r="K273">
        <f t="shared" ref="K273:K336" si="37">IF(OR(D273="QB", D273="WR", D273="TE"), 1, 0)</f>
        <v>1</v>
      </c>
      <c r="L273">
        <v>0</v>
      </c>
      <c r="M273">
        <f t="shared" ref="M273:M336" si="38">IF(OR(D273="CB", D273="S"), 1, 0)</f>
        <v>0</v>
      </c>
      <c r="N273">
        <f t="shared" ref="N273:N336" si="39">IF(AND(OR(D273="QB", D273="RB", D273="WR", D273="TE", D273="OL"), OR(E273="FR", E273="SO", E273="FR (RS)", E273="SO (RS)")), 1, 0)</f>
        <v>0</v>
      </c>
      <c r="O273">
        <f t="shared" ref="O273:O336" si="40">IF(AND(OR(D273="QB", D273="RB", D273="WR", D273="TE", D273="OL"), H273&gt;300), 1, 0)</f>
        <v>0</v>
      </c>
      <c r="P273">
        <v>0</v>
      </c>
      <c r="Q273">
        <f t="shared" ref="Q273:Q336" si="41">IF(AND(OR(D273="QB", D273="WR", D273="TE"), OR(E273="FR", E273="SO", E273="FR (RS)", E273="SO (RS)")), 1, 0)</f>
        <v>0</v>
      </c>
      <c r="R273">
        <f t="shared" ref="R273:R336" si="42">IF(AND(OR(D273="WR", D273="TE"), H273&gt;300), 1, 0)</f>
        <v>0</v>
      </c>
      <c r="S273">
        <v>0</v>
      </c>
      <c r="T273">
        <v>0</v>
      </c>
      <c r="U273">
        <v>0</v>
      </c>
      <c r="V273">
        <v>50</v>
      </c>
    </row>
    <row r="274" spans="1:22" x14ac:dyDescent="0.3">
      <c r="A274" t="s">
        <v>317</v>
      </c>
      <c r="B274" t="s">
        <v>320</v>
      </c>
      <c r="C274">
        <v>41</v>
      </c>
      <c r="D274" t="s">
        <v>36</v>
      </c>
      <c r="E274" t="s">
        <v>34</v>
      </c>
      <c r="F274" t="s">
        <v>65</v>
      </c>
      <c r="G274">
        <f t="shared" si="27"/>
        <v>3</v>
      </c>
      <c r="H274">
        <v>0</v>
      </c>
      <c r="I274">
        <f t="shared" si="36"/>
        <v>1</v>
      </c>
      <c r="J274">
        <v>0</v>
      </c>
      <c r="K274">
        <f t="shared" si="37"/>
        <v>1</v>
      </c>
      <c r="L274">
        <v>0</v>
      </c>
      <c r="M274">
        <f t="shared" si="38"/>
        <v>0</v>
      </c>
      <c r="N274">
        <f t="shared" si="39"/>
        <v>1</v>
      </c>
      <c r="O274">
        <f t="shared" si="40"/>
        <v>0</v>
      </c>
      <c r="P274">
        <v>0</v>
      </c>
      <c r="Q274">
        <f t="shared" si="41"/>
        <v>1</v>
      </c>
      <c r="R274">
        <f t="shared" si="42"/>
        <v>0</v>
      </c>
      <c r="S274">
        <v>0</v>
      </c>
      <c r="T274">
        <v>0</v>
      </c>
      <c r="U274">
        <v>0</v>
      </c>
      <c r="V274">
        <v>50</v>
      </c>
    </row>
    <row r="275" spans="1:22" x14ac:dyDescent="0.3">
      <c r="A275" t="s">
        <v>317</v>
      </c>
      <c r="B275" t="s">
        <v>321</v>
      </c>
      <c r="C275">
        <v>30</v>
      </c>
      <c r="D275" t="s">
        <v>24</v>
      </c>
      <c r="E275" t="s">
        <v>28</v>
      </c>
      <c r="F275" t="s">
        <v>65</v>
      </c>
      <c r="G275">
        <f t="shared" si="27"/>
        <v>3</v>
      </c>
      <c r="H275">
        <v>382</v>
      </c>
      <c r="I275">
        <f t="shared" si="36"/>
        <v>1</v>
      </c>
      <c r="J275">
        <v>0</v>
      </c>
      <c r="K275">
        <f t="shared" si="37"/>
        <v>0</v>
      </c>
      <c r="L275">
        <v>0</v>
      </c>
      <c r="M275">
        <f t="shared" si="38"/>
        <v>0</v>
      </c>
      <c r="N275">
        <f t="shared" si="39"/>
        <v>1</v>
      </c>
      <c r="O275">
        <f t="shared" si="40"/>
        <v>1</v>
      </c>
      <c r="P275">
        <v>0</v>
      </c>
      <c r="Q275">
        <f t="shared" si="41"/>
        <v>0</v>
      </c>
      <c r="R275">
        <f t="shared" si="42"/>
        <v>0</v>
      </c>
      <c r="S275">
        <v>0</v>
      </c>
      <c r="T275">
        <v>0</v>
      </c>
      <c r="U275">
        <v>0</v>
      </c>
      <c r="V275">
        <v>50</v>
      </c>
    </row>
    <row r="276" spans="1:22" x14ac:dyDescent="0.3">
      <c r="A276" t="s">
        <v>317</v>
      </c>
      <c r="B276" t="s">
        <v>322</v>
      </c>
      <c r="C276">
        <v>29</v>
      </c>
      <c r="D276" t="s">
        <v>24</v>
      </c>
      <c r="E276" t="s">
        <v>28</v>
      </c>
      <c r="F276" t="s">
        <v>65</v>
      </c>
      <c r="G276">
        <f t="shared" si="27"/>
        <v>3</v>
      </c>
      <c r="H276">
        <v>604</v>
      </c>
      <c r="I276">
        <f t="shared" si="36"/>
        <v>1</v>
      </c>
      <c r="J276">
        <v>0</v>
      </c>
      <c r="K276">
        <f t="shared" si="37"/>
        <v>0</v>
      </c>
      <c r="L276">
        <v>0</v>
      </c>
      <c r="M276">
        <f t="shared" si="38"/>
        <v>0</v>
      </c>
      <c r="N276">
        <f t="shared" si="39"/>
        <v>1</v>
      </c>
      <c r="O276">
        <f t="shared" si="40"/>
        <v>1</v>
      </c>
      <c r="P276">
        <v>0</v>
      </c>
      <c r="Q276">
        <f t="shared" si="41"/>
        <v>0</v>
      </c>
      <c r="R276">
        <f t="shared" si="42"/>
        <v>0</v>
      </c>
      <c r="S276">
        <v>0</v>
      </c>
      <c r="T276">
        <v>0</v>
      </c>
      <c r="U276">
        <v>0</v>
      </c>
      <c r="V276">
        <v>50</v>
      </c>
    </row>
    <row r="277" spans="1:22" x14ac:dyDescent="0.3">
      <c r="A277" t="s">
        <v>317</v>
      </c>
      <c r="B277" t="s">
        <v>323</v>
      </c>
      <c r="C277">
        <v>35</v>
      </c>
      <c r="D277" t="s">
        <v>43</v>
      </c>
      <c r="E277" t="s">
        <v>28</v>
      </c>
      <c r="F277" t="s">
        <v>65</v>
      </c>
      <c r="G277">
        <f t="shared" si="27"/>
        <v>3</v>
      </c>
      <c r="H277">
        <v>191</v>
      </c>
      <c r="I277">
        <f t="shared" si="36"/>
        <v>1</v>
      </c>
      <c r="J277">
        <v>0</v>
      </c>
      <c r="K277">
        <f t="shared" si="37"/>
        <v>1</v>
      </c>
      <c r="L277">
        <v>0</v>
      </c>
      <c r="M277">
        <f t="shared" si="38"/>
        <v>0</v>
      </c>
      <c r="N277">
        <f t="shared" si="39"/>
        <v>1</v>
      </c>
      <c r="O277">
        <f t="shared" si="40"/>
        <v>0</v>
      </c>
      <c r="P277">
        <v>0</v>
      </c>
      <c r="Q277">
        <f t="shared" si="41"/>
        <v>1</v>
      </c>
      <c r="R277">
        <f t="shared" si="42"/>
        <v>0</v>
      </c>
      <c r="S277">
        <v>0</v>
      </c>
      <c r="T277">
        <v>0</v>
      </c>
      <c r="U277">
        <v>0</v>
      </c>
      <c r="V277">
        <v>50</v>
      </c>
    </row>
    <row r="278" spans="1:22" x14ac:dyDescent="0.3">
      <c r="A278" t="s">
        <v>317</v>
      </c>
      <c r="B278" t="s">
        <v>324</v>
      </c>
      <c r="C278">
        <v>33</v>
      </c>
      <c r="D278" t="s">
        <v>43</v>
      </c>
      <c r="E278" t="s">
        <v>25</v>
      </c>
      <c r="F278" t="s">
        <v>65</v>
      </c>
      <c r="G278">
        <f t="shared" si="27"/>
        <v>3</v>
      </c>
      <c r="H278">
        <v>868</v>
      </c>
      <c r="I278">
        <f t="shared" si="36"/>
        <v>1</v>
      </c>
      <c r="J278">
        <v>0</v>
      </c>
      <c r="K278">
        <f t="shared" si="37"/>
        <v>1</v>
      </c>
      <c r="L278">
        <v>0</v>
      </c>
      <c r="M278">
        <f t="shared" si="38"/>
        <v>0</v>
      </c>
      <c r="N278">
        <f t="shared" si="39"/>
        <v>0</v>
      </c>
      <c r="O278">
        <f t="shared" si="40"/>
        <v>1</v>
      </c>
      <c r="P278">
        <v>0</v>
      </c>
      <c r="Q278">
        <f t="shared" si="41"/>
        <v>0</v>
      </c>
      <c r="R278">
        <f t="shared" si="42"/>
        <v>1</v>
      </c>
      <c r="S278">
        <v>0</v>
      </c>
      <c r="T278">
        <v>0</v>
      </c>
      <c r="U278">
        <v>0</v>
      </c>
      <c r="V278">
        <v>50</v>
      </c>
    </row>
    <row r="279" spans="1:22" x14ac:dyDescent="0.3">
      <c r="A279" t="s">
        <v>317</v>
      </c>
      <c r="B279" t="s">
        <v>325</v>
      </c>
      <c r="C279">
        <v>25</v>
      </c>
      <c r="D279" t="s">
        <v>24</v>
      </c>
      <c r="E279" t="s">
        <v>34</v>
      </c>
      <c r="F279" t="s">
        <v>38</v>
      </c>
      <c r="G279">
        <f t="shared" si="27"/>
        <v>2</v>
      </c>
      <c r="H279">
        <v>1</v>
      </c>
      <c r="I279">
        <f t="shared" si="36"/>
        <v>1</v>
      </c>
      <c r="J279">
        <v>0</v>
      </c>
      <c r="K279">
        <f t="shared" si="37"/>
        <v>0</v>
      </c>
      <c r="L279">
        <v>0</v>
      </c>
      <c r="M279">
        <f t="shared" si="38"/>
        <v>0</v>
      </c>
      <c r="N279">
        <f t="shared" si="39"/>
        <v>1</v>
      </c>
      <c r="O279">
        <f t="shared" si="40"/>
        <v>0</v>
      </c>
      <c r="P279">
        <v>0</v>
      </c>
      <c r="Q279">
        <f t="shared" si="41"/>
        <v>0</v>
      </c>
      <c r="R279">
        <f t="shared" si="42"/>
        <v>0</v>
      </c>
      <c r="S279">
        <v>0</v>
      </c>
      <c r="T279">
        <v>0</v>
      </c>
      <c r="U279">
        <v>0</v>
      </c>
      <c r="V279">
        <v>50</v>
      </c>
    </row>
    <row r="280" spans="1:22" x14ac:dyDescent="0.3">
      <c r="A280" t="s">
        <v>317</v>
      </c>
      <c r="B280" t="s">
        <v>326</v>
      </c>
      <c r="C280">
        <v>24</v>
      </c>
      <c r="D280" t="s">
        <v>43</v>
      </c>
      <c r="E280" t="s">
        <v>34</v>
      </c>
      <c r="F280" t="s">
        <v>38</v>
      </c>
      <c r="G280">
        <f t="shared" si="27"/>
        <v>2</v>
      </c>
      <c r="H280">
        <v>0</v>
      </c>
      <c r="I280">
        <f t="shared" si="36"/>
        <v>1</v>
      </c>
      <c r="J280">
        <v>0</v>
      </c>
      <c r="K280">
        <f t="shared" si="37"/>
        <v>1</v>
      </c>
      <c r="L280">
        <v>0</v>
      </c>
      <c r="M280">
        <f t="shared" si="38"/>
        <v>0</v>
      </c>
      <c r="N280">
        <f t="shared" si="39"/>
        <v>1</v>
      </c>
      <c r="O280">
        <f t="shared" si="40"/>
        <v>0</v>
      </c>
      <c r="P280">
        <v>0</v>
      </c>
      <c r="Q280">
        <f t="shared" si="41"/>
        <v>1</v>
      </c>
      <c r="R280">
        <f t="shared" si="42"/>
        <v>0</v>
      </c>
      <c r="S280">
        <v>0</v>
      </c>
      <c r="T280">
        <v>0</v>
      </c>
      <c r="U280">
        <v>0</v>
      </c>
      <c r="V280">
        <v>50</v>
      </c>
    </row>
    <row r="281" spans="1:22" x14ac:dyDescent="0.3">
      <c r="A281" t="s">
        <v>317</v>
      </c>
      <c r="B281" t="s">
        <v>327</v>
      </c>
      <c r="C281">
        <v>16</v>
      </c>
      <c r="D281" t="s">
        <v>40</v>
      </c>
      <c r="E281" t="s">
        <v>37</v>
      </c>
      <c r="F281" t="s">
        <v>38</v>
      </c>
      <c r="G281">
        <f t="shared" si="27"/>
        <v>2</v>
      </c>
      <c r="H281">
        <v>946</v>
      </c>
      <c r="I281">
        <f t="shared" si="36"/>
        <v>1</v>
      </c>
      <c r="J281">
        <v>0</v>
      </c>
      <c r="K281">
        <f t="shared" si="37"/>
        <v>1</v>
      </c>
      <c r="L281">
        <v>0</v>
      </c>
      <c r="M281">
        <f t="shared" si="38"/>
        <v>0</v>
      </c>
      <c r="N281">
        <f t="shared" si="39"/>
        <v>0</v>
      </c>
      <c r="O281">
        <f t="shared" si="40"/>
        <v>1</v>
      </c>
      <c r="P281">
        <v>0</v>
      </c>
      <c r="Q281">
        <f t="shared" si="41"/>
        <v>0</v>
      </c>
      <c r="R281">
        <f t="shared" si="42"/>
        <v>1</v>
      </c>
      <c r="S281">
        <v>0</v>
      </c>
      <c r="T281">
        <v>0</v>
      </c>
      <c r="U281">
        <v>0</v>
      </c>
      <c r="V281">
        <v>50</v>
      </c>
    </row>
    <row r="282" spans="1:22" x14ac:dyDescent="0.3">
      <c r="A282" t="s">
        <v>317</v>
      </c>
      <c r="B282" t="s">
        <v>328</v>
      </c>
      <c r="C282">
        <v>23</v>
      </c>
      <c r="D282" t="s">
        <v>40</v>
      </c>
      <c r="E282" t="s">
        <v>31</v>
      </c>
      <c r="F282" t="s">
        <v>38</v>
      </c>
      <c r="G282">
        <f t="shared" si="27"/>
        <v>2</v>
      </c>
      <c r="H282">
        <v>0</v>
      </c>
      <c r="I282">
        <f t="shared" si="36"/>
        <v>1</v>
      </c>
      <c r="J282">
        <v>0</v>
      </c>
      <c r="K282">
        <f t="shared" si="37"/>
        <v>1</v>
      </c>
      <c r="L282">
        <v>0</v>
      </c>
      <c r="M282">
        <f t="shared" si="38"/>
        <v>0</v>
      </c>
      <c r="N282">
        <f t="shared" si="39"/>
        <v>1</v>
      </c>
      <c r="O282">
        <f t="shared" si="40"/>
        <v>0</v>
      </c>
      <c r="P282">
        <v>0</v>
      </c>
      <c r="Q282">
        <f t="shared" si="41"/>
        <v>1</v>
      </c>
      <c r="R282">
        <f t="shared" si="42"/>
        <v>0</v>
      </c>
      <c r="S282">
        <v>0</v>
      </c>
      <c r="T282">
        <v>0</v>
      </c>
      <c r="U282">
        <v>0</v>
      </c>
      <c r="V282">
        <v>50</v>
      </c>
    </row>
    <row r="283" spans="1:22" x14ac:dyDescent="0.3">
      <c r="A283" t="s">
        <v>317</v>
      </c>
      <c r="B283" t="s">
        <v>329</v>
      </c>
      <c r="C283">
        <v>28</v>
      </c>
      <c r="D283" t="s">
        <v>43</v>
      </c>
      <c r="E283" t="s">
        <v>34</v>
      </c>
      <c r="F283" t="s">
        <v>38</v>
      </c>
      <c r="G283">
        <f t="shared" si="27"/>
        <v>2</v>
      </c>
      <c r="H283">
        <v>0</v>
      </c>
      <c r="I283">
        <f t="shared" si="36"/>
        <v>1</v>
      </c>
      <c r="J283">
        <v>0</v>
      </c>
      <c r="K283">
        <f t="shared" si="37"/>
        <v>1</v>
      </c>
      <c r="L283">
        <v>0</v>
      </c>
      <c r="M283">
        <f t="shared" si="38"/>
        <v>0</v>
      </c>
      <c r="N283">
        <f t="shared" si="39"/>
        <v>1</v>
      </c>
      <c r="O283">
        <f t="shared" si="40"/>
        <v>0</v>
      </c>
      <c r="P283">
        <v>0</v>
      </c>
      <c r="Q283">
        <f t="shared" si="41"/>
        <v>1</v>
      </c>
      <c r="R283">
        <f t="shared" si="42"/>
        <v>0</v>
      </c>
      <c r="S283">
        <v>0</v>
      </c>
      <c r="T283">
        <v>0</v>
      </c>
      <c r="U283">
        <v>0</v>
      </c>
      <c r="V283">
        <v>50</v>
      </c>
    </row>
    <row r="284" spans="1:22" x14ac:dyDescent="0.3">
      <c r="A284" t="s">
        <v>317</v>
      </c>
      <c r="B284" t="s">
        <v>330</v>
      </c>
      <c r="C284">
        <v>37</v>
      </c>
      <c r="D284" t="s">
        <v>43</v>
      </c>
      <c r="E284" t="s">
        <v>34</v>
      </c>
      <c r="F284" t="s">
        <v>65</v>
      </c>
      <c r="G284">
        <f t="shared" si="27"/>
        <v>3</v>
      </c>
      <c r="H284">
        <v>85</v>
      </c>
      <c r="I284">
        <f t="shared" si="36"/>
        <v>1</v>
      </c>
      <c r="J284">
        <v>0</v>
      </c>
      <c r="K284">
        <f t="shared" si="37"/>
        <v>1</v>
      </c>
      <c r="L284">
        <v>0</v>
      </c>
      <c r="M284">
        <f t="shared" si="38"/>
        <v>0</v>
      </c>
      <c r="N284">
        <f t="shared" si="39"/>
        <v>1</v>
      </c>
      <c r="O284">
        <f t="shared" si="40"/>
        <v>0</v>
      </c>
      <c r="P284">
        <v>0</v>
      </c>
      <c r="Q284">
        <f t="shared" si="41"/>
        <v>1</v>
      </c>
      <c r="R284">
        <f t="shared" si="42"/>
        <v>0</v>
      </c>
      <c r="S284">
        <v>0</v>
      </c>
      <c r="T284">
        <v>0</v>
      </c>
      <c r="U284">
        <v>0</v>
      </c>
      <c r="V284">
        <v>50</v>
      </c>
    </row>
    <row r="285" spans="1:22" x14ac:dyDescent="0.3">
      <c r="A285" t="s">
        <v>317</v>
      </c>
      <c r="B285" t="s">
        <v>331</v>
      </c>
      <c r="C285">
        <v>20</v>
      </c>
      <c r="D285" t="s">
        <v>40</v>
      </c>
      <c r="E285" t="s">
        <v>34</v>
      </c>
      <c r="F285" t="s">
        <v>38</v>
      </c>
      <c r="G285">
        <f t="shared" si="27"/>
        <v>2</v>
      </c>
      <c r="H285">
        <v>0</v>
      </c>
      <c r="I285">
        <f t="shared" si="36"/>
        <v>1</v>
      </c>
      <c r="J285">
        <v>0</v>
      </c>
      <c r="K285">
        <f t="shared" si="37"/>
        <v>1</v>
      </c>
      <c r="L285">
        <v>0</v>
      </c>
      <c r="M285">
        <f t="shared" si="38"/>
        <v>0</v>
      </c>
      <c r="N285">
        <f t="shared" si="39"/>
        <v>1</v>
      </c>
      <c r="O285">
        <f t="shared" si="40"/>
        <v>0</v>
      </c>
      <c r="P285">
        <v>0</v>
      </c>
      <c r="Q285">
        <f t="shared" si="41"/>
        <v>1</v>
      </c>
      <c r="R285">
        <f t="shared" si="42"/>
        <v>0</v>
      </c>
      <c r="S285">
        <v>0</v>
      </c>
      <c r="T285">
        <v>0</v>
      </c>
      <c r="U285">
        <v>0</v>
      </c>
      <c r="V285">
        <v>50</v>
      </c>
    </row>
    <row r="286" spans="1:22" x14ac:dyDescent="0.3">
      <c r="A286" t="s">
        <v>317</v>
      </c>
      <c r="B286" t="s">
        <v>332</v>
      </c>
      <c r="C286">
        <v>19</v>
      </c>
      <c r="D286" t="s">
        <v>43</v>
      </c>
      <c r="E286" t="s">
        <v>37</v>
      </c>
      <c r="F286" t="s">
        <v>38</v>
      </c>
      <c r="G286">
        <f t="shared" si="27"/>
        <v>2</v>
      </c>
      <c r="H286">
        <v>1</v>
      </c>
      <c r="I286">
        <f t="shared" si="36"/>
        <v>1</v>
      </c>
      <c r="J286">
        <v>0</v>
      </c>
      <c r="K286">
        <f t="shared" si="37"/>
        <v>1</v>
      </c>
      <c r="L286">
        <v>0</v>
      </c>
      <c r="M286">
        <f t="shared" si="38"/>
        <v>0</v>
      </c>
      <c r="N286">
        <f t="shared" si="39"/>
        <v>0</v>
      </c>
      <c r="O286">
        <f t="shared" si="40"/>
        <v>0</v>
      </c>
      <c r="P286">
        <v>0</v>
      </c>
      <c r="Q286">
        <f t="shared" si="41"/>
        <v>0</v>
      </c>
      <c r="R286">
        <f t="shared" si="42"/>
        <v>0</v>
      </c>
      <c r="S286">
        <v>0</v>
      </c>
      <c r="T286">
        <v>0</v>
      </c>
      <c r="U286">
        <v>0</v>
      </c>
      <c r="V286">
        <v>50</v>
      </c>
    </row>
    <row r="287" spans="1:22" x14ac:dyDescent="0.3">
      <c r="A287" t="s">
        <v>317</v>
      </c>
      <c r="B287" t="s">
        <v>333</v>
      </c>
      <c r="C287">
        <v>31</v>
      </c>
      <c r="D287" t="s">
        <v>43</v>
      </c>
      <c r="E287" t="s">
        <v>28</v>
      </c>
      <c r="F287" t="s">
        <v>65</v>
      </c>
      <c r="G287">
        <f t="shared" si="27"/>
        <v>3</v>
      </c>
      <c r="H287">
        <v>898</v>
      </c>
      <c r="I287">
        <f t="shared" si="36"/>
        <v>1</v>
      </c>
      <c r="J287">
        <v>0</v>
      </c>
      <c r="K287">
        <f t="shared" si="37"/>
        <v>1</v>
      </c>
      <c r="L287">
        <v>0</v>
      </c>
      <c r="M287">
        <f t="shared" si="38"/>
        <v>0</v>
      </c>
      <c r="N287">
        <f t="shared" si="39"/>
        <v>1</v>
      </c>
      <c r="O287">
        <f t="shared" si="40"/>
        <v>1</v>
      </c>
      <c r="P287">
        <v>0</v>
      </c>
      <c r="Q287">
        <f t="shared" si="41"/>
        <v>1</v>
      </c>
      <c r="R287">
        <f t="shared" si="42"/>
        <v>1</v>
      </c>
      <c r="S287">
        <v>0</v>
      </c>
      <c r="T287">
        <v>0</v>
      </c>
      <c r="U287">
        <v>0</v>
      </c>
      <c r="V287">
        <v>50</v>
      </c>
    </row>
    <row r="288" spans="1:22" x14ac:dyDescent="0.3">
      <c r="A288" t="s">
        <v>317</v>
      </c>
      <c r="B288" t="s">
        <v>334</v>
      </c>
      <c r="C288">
        <v>29</v>
      </c>
      <c r="D288" t="s">
        <v>43</v>
      </c>
      <c r="E288" t="s">
        <v>25</v>
      </c>
      <c r="F288" t="s">
        <v>65</v>
      </c>
      <c r="G288">
        <f t="shared" si="27"/>
        <v>3</v>
      </c>
      <c r="H288">
        <v>898</v>
      </c>
      <c r="I288">
        <f t="shared" si="36"/>
        <v>1</v>
      </c>
      <c r="J288">
        <v>0</v>
      </c>
      <c r="K288">
        <f t="shared" si="37"/>
        <v>1</v>
      </c>
      <c r="L288">
        <v>0</v>
      </c>
      <c r="M288">
        <f t="shared" si="38"/>
        <v>0</v>
      </c>
      <c r="N288">
        <f t="shared" si="39"/>
        <v>0</v>
      </c>
      <c r="O288">
        <f t="shared" si="40"/>
        <v>1</v>
      </c>
      <c r="P288">
        <v>0</v>
      </c>
      <c r="Q288">
        <f t="shared" si="41"/>
        <v>0</v>
      </c>
      <c r="R288">
        <f t="shared" si="42"/>
        <v>1</v>
      </c>
      <c r="S288">
        <v>0</v>
      </c>
      <c r="T288">
        <v>0</v>
      </c>
      <c r="U288">
        <v>0</v>
      </c>
      <c r="V288">
        <v>50</v>
      </c>
    </row>
    <row r="289" spans="1:22" x14ac:dyDescent="0.3">
      <c r="A289" t="s">
        <v>317</v>
      </c>
      <c r="B289" t="s">
        <v>335</v>
      </c>
      <c r="C289">
        <v>22</v>
      </c>
      <c r="D289" t="s">
        <v>40</v>
      </c>
      <c r="E289" t="s">
        <v>25</v>
      </c>
      <c r="F289" t="s">
        <v>65</v>
      </c>
      <c r="G289">
        <f t="shared" si="27"/>
        <v>3</v>
      </c>
      <c r="H289">
        <v>314</v>
      </c>
      <c r="I289">
        <f t="shared" si="36"/>
        <v>1</v>
      </c>
      <c r="J289">
        <v>0</v>
      </c>
      <c r="K289">
        <f t="shared" si="37"/>
        <v>1</v>
      </c>
      <c r="L289">
        <v>0</v>
      </c>
      <c r="M289">
        <f t="shared" si="38"/>
        <v>0</v>
      </c>
      <c r="N289">
        <f t="shared" si="39"/>
        <v>0</v>
      </c>
      <c r="O289">
        <f t="shared" si="40"/>
        <v>1</v>
      </c>
      <c r="P289">
        <v>0</v>
      </c>
      <c r="Q289">
        <f t="shared" si="41"/>
        <v>0</v>
      </c>
      <c r="R289">
        <f t="shared" si="42"/>
        <v>1</v>
      </c>
      <c r="S289">
        <v>0</v>
      </c>
      <c r="T289">
        <v>0</v>
      </c>
      <c r="U289">
        <v>0</v>
      </c>
      <c r="V289">
        <v>50</v>
      </c>
    </row>
    <row r="290" spans="1:22" x14ac:dyDescent="0.3">
      <c r="A290" t="s">
        <v>317</v>
      </c>
      <c r="B290" t="s">
        <v>336</v>
      </c>
      <c r="C290">
        <v>7</v>
      </c>
      <c r="D290" t="s">
        <v>24</v>
      </c>
      <c r="E290" t="s">
        <v>37</v>
      </c>
      <c r="F290" t="s">
        <v>60</v>
      </c>
      <c r="G290">
        <f t="shared" si="27"/>
        <v>1</v>
      </c>
      <c r="H290">
        <v>126</v>
      </c>
      <c r="I290">
        <f t="shared" si="36"/>
        <v>1</v>
      </c>
      <c r="J290">
        <v>0</v>
      </c>
      <c r="K290">
        <f t="shared" si="37"/>
        <v>0</v>
      </c>
      <c r="L290">
        <v>0</v>
      </c>
      <c r="M290">
        <f t="shared" si="38"/>
        <v>0</v>
      </c>
      <c r="N290">
        <f t="shared" si="39"/>
        <v>0</v>
      </c>
      <c r="O290">
        <f t="shared" si="40"/>
        <v>0</v>
      </c>
      <c r="P290">
        <v>0</v>
      </c>
      <c r="Q290">
        <f t="shared" si="41"/>
        <v>0</v>
      </c>
      <c r="R290">
        <f t="shared" si="42"/>
        <v>0</v>
      </c>
      <c r="S290">
        <v>0</v>
      </c>
      <c r="T290">
        <v>0</v>
      </c>
      <c r="U290">
        <v>0</v>
      </c>
      <c r="V290">
        <v>50</v>
      </c>
    </row>
    <row r="291" spans="1:22" x14ac:dyDescent="0.3">
      <c r="A291" t="s">
        <v>317</v>
      </c>
      <c r="B291" t="s">
        <v>337</v>
      </c>
      <c r="C291">
        <v>22</v>
      </c>
      <c r="D291" t="s">
        <v>24</v>
      </c>
      <c r="E291" t="s">
        <v>34</v>
      </c>
      <c r="F291" t="s">
        <v>38</v>
      </c>
      <c r="G291">
        <f t="shared" si="27"/>
        <v>2</v>
      </c>
      <c r="H291">
        <v>0</v>
      </c>
      <c r="I291">
        <f t="shared" si="36"/>
        <v>1</v>
      </c>
      <c r="J291">
        <v>0</v>
      </c>
      <c r="K291">
        <f t="shared" si="37"/>
        <v>0</v>
      </c>
      <c r="L291">
        <v>0</v>
      </c>
      <c r="M291">
        <f t="shared" si="38"/>
        <v>0</v>
      </c>
      <c r="N291">
        <f t="shared" si="39"/>
        <v>1</v>
      </c>
      <c r="O291">
        <f t="shared" si="40"/>
        <v>0</v>
      </c>
      <c r="P291">
        <v>0</v>
      </c>
      <c r="Q291">
        <f t="shared" si="41"/>
        <v>0</v>
      </c>
      <c r="R291">
        <f t="shared" si="42"/>
        <v>0</v>
      </c>
      <c r="S291">
        <v>0</v>
      </c>
      <c r="T291">
        <v>0</v>
      </c>
      <c r="U291">
        <v>0</v>
      </c>
      <c r="V291">
        <v>50</v>
      </c>
    </row>
    <row r="292" spans="1:22" x14ac:dyDescent="0.3">
      <c r="A292" t="s">
        <v>317</v>
      </c>
      <c r="B292" t="s">
        <v>338</v>
      </c>
      <c r="C292">
        <v>25</v>
      </c>
      <c r="D292" t="s">
        <v>46</v>
      </c>
      <c r="E292" t="s">
        <v>31</v>
      </c>
      <c r="F292" t="s">
        <v>38</v>
      </c>
      <c r="G292">
        <f t="shared" si="27"/>
        <v>2</v>
      </c>
      <c r="H292">
        <v>0</v>
      </c>
      <c r="I292">
        <f t="shared" si="36"/>
        <v>1</v>
      </c>
      <c r="J292">
        <v>0</v>
      </c>
      <c r="K292">
        <f t="shared" si="37"/>
        <v>0</v>
      </c>
      <c r="L292">
        <v>0</v>
      </c>
      <c r="M292">
        <f t="shared" si="38"/>
        <v>0</v>
      </c>
      <c r="N292">
        <f t="shared" si="39"/>
        <v>1</v>
      </c>
      <c r="O292">
        <f t="shared" si="40"/>
        <v>0</v>
      </c>
      <c r="P292">
        <v>0</v>
      </c>
      <c r="Q292">
        <f t="shared" si="41"/>
        <v>0</v>
      </c>
      <c r="R292">
        <f t="shared" si="42"/>
        <v>0</v>
      </c>
      <c r="S292">
        <v>0</v>
      </c>
      <c r="T292">
        <v>0</v>
      </c>
      <c r="U292">
        <v>0</v>
      </c>
      <c r="V292">
        <v>50</v>
      </c>
    </row>
    <row r="293" spans="1:22" x14ac:dyDescent="0.3">
      <c r="A293" t="s">
        <v>317</v>
      </c>
      <c r="B293" t="s">
        <v>339</v>
      </c>
      <c r="C293">
        <v>27</v>
      </c>
      <c r="D293" t="s">
        <v>46</v>
      </c>
      <c r="E293" t="s">
        <v>31</v>
      </c>
      <c r="F293" t="s">
        <v>38</v>
      </c>
      <c r="G293">
        <f t="shared" si="27"/>
        <v>2</v>
      </c>
      <c r="H293">
        <v>0</v>
      </c>
      <c r="I293">
        <f t="shared" si="36"/>
        <v>1</v>
      </c>
      <c r="J293">
        <v>0</v>
      </c>
      <c r="K293">
        <f t="shared" si="37"/>
        <v>0</v>
      </c>
      <c r="L293">
        <v>0</v>
      </c>
      <c r="M293">
        <f t="shared" si="38"/>
        <v>0</v>
      </c>
      <c r="N293">
        <f t="shared" si="39"/>
        <v>1</v>
      </c>
      <c r="O293">
        <f t="shared" si="40"/>
        <v>0</v>
      </c>
      <c r="P293">
        <v>0</v>
      </c>
      <c r="Q293">
        <f t="shared" si="41"/>
        <v>0</v>
      </c>
      <c r="R293">
        <f t="shared" si="42"/>
        <v>0</v>
      </c>
      <c r="S293">
        <v>0</v>
      </c>
      <c r="T293">
        <v>0</v>
      </c>
      <c r="U293">
        <v>0</v>
      </c>
      <c r="V293">
        <v>50</v>
      </c>
    </row>
    <row r="294" spans="1:22" x14ac:dyDescent="0.3">
      <c r="A294" t="s">
        <v>317</v>
      </c>
      <c r="B294" t="s">
        <v>340</v>
      </c>
      <c r="C294">
        <v>26</v>
      </c>
      <c r="D294" t="s">
        <v>46</v>
      </c>
      <c r="E294" t="s">
        <v>34</v>
      </c>
      <c r="F294" t="s">
        <v>38</v>
      </c>
      <c r="G294">
        <f t="shared" si="27"/>
        <v>2</v>
      </c>
      <c r="H294">
        <v>0</v>
      </c>
      <c r="I294">
        <f t="shared" si="36"/>
        <v>1</v>
      </c>
      <c r="J294">
        <v>0</v>
      </c>
      <c r="K294">
        <f t="shared" si="37"/>
        <v>0</v>
      </c>
      <c r="L294">
        <v>0</v>
      </c>
      <c r="M294">
        <f t="shared" si="38"/>
        <v>0</v>
      </c>
      <c r="N294">
        <f t="shared" si="39"/>
        <v>1</v>
      </c>
      <c r="O294">
        <f t="shared" si="40"/>
        <v>0</v>
      </c>
      <c r="P294">
        <v>0</v>
      </c>
      <c r="Q294">
        <f t="shared" si="41"/>
        <v>0</v>
      </c>
      <c r="R294">
        <f t="shared" si="42"/>
        <v>0</v>
      </c>
      <c r="S294">
        <v>0</v>
      </c>
      <c r="T294">
        <v>0</v>
      </c>
      <c r="U294">
        <v>0</v>
      </c>
      <c r="V294">
        <v>50</v>
      </c>
    </row>
    <row r="295" spans="1:22" x14ac:dyDescent="0.3">
      <c r="A295" t="s">
        <v>317</v>
      </c>
      <c r="B295" t="s">
        <v>341</v>
      </c>
      <c r="C295">
        <v>26</v>
      </c>
      <c r="D295" t="s">
        <v>46</v>
      </c>
      <c r="E295" t="s">
        <v>37</v>
      </c>
      <c r="F295" t="s">
        <v>38</v>
      </c>
      <c r="G295">
        <f t="shared" si="27"/>
        <v>2</v>
      </c>
      <c r="H295">
        <v>71</v>
      </c>
      <c r="I295">
        <f t="shared" si="36"/>
        <v>1</v>
      </c>
      <c r="J295">
        <v>0</v>
      </c>
      <c r="K295">
        <f t="shared" si="37"/>
        <v>0</v>
      </c>
      <c r="L295">
        <v>0</v>
      </c>
      <c r="M295">
        <f t="shared" si="38"/>
        <v>0</v>
      </c>
      <c r="N295">
        <f t="shared" si="39"/>
        <v>0</v>
      </c>
      <c r="O295">
        <f t="shared" si="40"/>
        <v>0</v>
      </c>
      <c r="P295">
        <v>0</v>
      </c>
      <c r="Q295">
        <f t="shared" si="41"/>
        <v>0</v>
      </c>
      <c r="R295">
        <f t="shared" si="42"/>
        <v>0</v>
      </c>
      <c r="S295">
        <v>0</v>
      </c>
      <c r="T295">
        <v>0</v>
      </c>
      <c r="U295">
        <v>0</v>
      </c>
      <c r="V295">
        <v>50</v>
      </c>
    </row>
    <row r="296" spans="1:22" x14ac:dyDescent="0.3">
      <c r="A296" t="s">
        <v>317</v>
      </c>
      <c r="B296" t="s">
        <v>342</v>
      </c>
      <c r="C296">
        <v>28</v>
      </c>
      <c r="D296" t="s">
        <v>46</v>
      </c>
      <c r="E296" t="s">
        <v>34</v>
      </c>
      <c r="F296" t="s">
        <v>38</v>
      </c>
      <c r="G296">
        <f t="shared" si="27"/>
        <v>2</v>
      </c>
      <c r="H296">
        <v>0</v>
      </c>
      <c r="I296">
        <f t="shared" si="36"/>
        <v>1</v>
      </c>
      <c r="J296">
        <v>0</v>
      </c>
      <c r="K296">
        <f t="shared" si="37"/>
        <v>0</v>
      </c>
      <c r="L296">
        <v>0</v>
      </c>
      <c r="M296">
        <f t="shared" si="38"/>
        <v>0</v>
      </c>
      <c r="N296">
        <f t="shared" si="39"/>
        <v>1</v>
      </c>
      <c r="O296">
        <f t="shared" si="40"/>
        <v>0</v>
      </c>
      <c r="P296">
        <v>0</v>
      </c>
      <c r="Q296">
        <f t="shared" si="41"/>
        <v>0</v>
      </c>
      <c r="R296">
        <f t="shared" si="42"/>
        <v>0</v>
      </c>
      <c r="S296">
        <v>0</v>
      </c>
      <c r="T296">
        <v>0</v>
      </c>
      <c r="U296">
        <v>0</v>
      </c>
      <c r="V296">
        <v>50</v>
      </c>
    </row>
    <row r="297" spans="1:22" x14ac:dyDescent="0.3">
      <c r="A297" t="s">
        <v>317</v>
      </c>
      <c r="B297" t="s">
        <v>343</v>
      </c>
      <c r="C297">
        <v>42</v>
      </c>
      <c r="D297" t="s">
        <v>46</v>
      </c>
      <c r="E297" t="s">
        <v>34</v>
      </c>
      <c r="F297" t="s">
        <v>65</v>
      </c>
      <c r="G297">
        <f t="shared" si="27"/>
        <v>3</v>
      </c>
      <c r="H297">
        <v>71</v>
      </c>
      <c r="I297">
        <f t="shared" si="36"/>
        <v>1</v>
      </c>
      <c r="J297">
        <v>0</v>
      </c>
      <c r="K297">
        <f t="shared" si="37"/>
        <v>0</v>
      </c>
      <c r="L297">
        <v>0</v>
      </c>
      <c r="M297">
        <f t="shared" si="38"/>
        <v>0</v>
      </c>
      <c r="N297">
        <f t="shared" si="39"/>
        <v>1</v>
      </c>
      <c r="O297">
        <f t="shared" si="40"/>
        <v>0</v>
      </c>
      <c r="P297">
        <v>0</v>
      </c>
      <c r="Q297">
        <f t="shared" si="41"/>
        <v>0</v>
      </c>
      <c r="R297">
        <f t="shared" si="42"/>
        <v>0</v>
      </c>
      <c r="S297">
        <v>0</v>
      </c>
      <c r="T297">
        <v>0</v>
      </c>
      <c r="U297">
        <v>0</v>
      </c>
      <c r="V297">
        <v>50</v>
      </c>
    </row>
    <row r="298" spans="1:22" x14ac:dyDescent="0.3">
      <c r="A298" t="s">
        <v>317</v>
      </c>
      <c r="B298" t="s">
        <v>344</v>
      </c>
      <c r="C298">
        <v>33</v>
      </c>
      <c r="D298" t="s">
        <v>46</v>
      </c>
      <c r="E298" t="s">
        <v>31</v>
      </c>
      <c r="F298" t="s">
        <v>65</v>
      </c>
      <c r="G298">
        <f t="shared" si="27"/>
        <v>3</v>
      </c>
      <c r="H298">
        <v>0</v>
      </c>
      <c r="I298">
        <f t="shared" si="36"/>
        <v>1</v>
      </c>
      <c r="J298">
        <v>0</v>
      </c>
      <c r="K298">
        <f t="shared" si="37"/>
        <v>0</v>
      </c>
      <c r="L298">
        <v>0</v>
      </c>
      <c r="M298">
        <f t="shared" si="38"/>
        <v>0</v>
      </c>
      <c r="N298">
        <f t="shared" si="39"/>
        <v>1</v>
      </c>
      <c r="O298">
        <f t="shared" si="40"/>
        <v>0</v>
      </c>
      <c r="P298">
        <v>0</v>
      </c>
      <c r="Q298">
        <f t="shared" si="41"/>
        <v>0</v>
      </c>
      <c r="R298">
        <f t="shared" si="42"/>
        <v>0</v>
      </c>
      <c r="S298">
        <v>0</v>
      </c>
      <c r="T298">
        <v>0</v>
      </c>
      <c r="U298">
        <v>0</v>
      </c>
      <c r="V298">
        <v>50</v>
      </c>
    </row>
    <row r="299" spans="1:22" x14ac:dyDescent="0.3">
      <c r="A299" t="s">
        <v>317</v>
      </c>
      <c r="B299" t="s">
        <v>345</v>
      </c>
      <c r="C299">
        <v>31</v>
      </c>
      <c r="D299" t="s">
        <v>46</v>
      </c>
      <c r="E299" t="s">
        <v>31</v>
      </c>
      <c r="F299" t="s">
        <v>65</v>
      </c>
      <c r="G299">
        <f t="shared" si="27"/>
        <v>3</v>
      </c>
      <c r="H299">
        <v>0</v>
      </c>
      <c r="I299">
        <f t="shared" si="36"/>
        <v>1</v>
      </c>
      <c r="J299">
        <v>0</v>
      </c>
      <c r="K299">
        <f t="shared" si="37"/>
        <v>0</v>
      </c>
      <c r="L299">
        <v>0</v>
      </c>
      <c r="M299">
        <f t="shared" si="38"/>
        <v>0</v>
      </c>
      <c r="N299">
        <f t="shared" si="39"/>
        <v>1</v>
      </c>
      <c r="O299">
        <f t="shared" si="40"/>
        <v>0</v>
      </c>
      <c r="P299">
        <v>0</v>
      </c>
      <c r="Q299">
        <f t="shared" si="41"/>
        <v>0</v>
      </c>
      <c r="R299">
        <f t="shared" si="42"/>
        <v>0</v>
      </c>
      <c r="S299">
        <v>0</v>
      </c>
      <c r="T299">
        <v>0</v>
      </c>
      <c r="U299">
        <v>0</v>
      </c>
      <c r="V299">
        <v>50</v>
      </c>
    </row>
    <row r="300" spans="1:22" x14ac:dyDescent="0.3">
      <c r="A300" t="s">
        <v>317</v>
      </c>
      <c r="B300" t="s">
        <v>346</v>
      </c>
      <c r="C300">
        <v>23</v>
      </c>
      <c r="D300" t="s">
        <v>46</v>
      </c>
      <c r="E300" t="s">
        <v>41</v>
      </c>
      <c r="F300" t="s">
        <v>38</v>
      </c>
      <c r="G300">
        <f t="shared" si="27"/>
        <v>2</v>
      </c>
      <c r="H300">
        <v>0</v>
      </c>
      <c r="I300">
        <f t="shared" si="36"/>
        <v>1</v>
      </c>
      <c r="J300">
        <v>0</v>
      </c>
      <c r="K300">
        <f t="shared" si="37"/>
        <v>0</v>
      </c>
      <c r="L300">
        <v>0</v>
      </c>
      <c r="M300">
        <f t="shared" si="38"/>
        <v>0</v>
      </c>
      <c r="N300">
        <f t="shared" si="39"/>
        <v>1</v>
      </c>
      <c r="O300">
        <f t="shared" si="40"/>
        <v>0</v>
      </c>
      <c r="P300">
        <v>0</v>
      </c>
      <c r="Q300">
        <f t="shared" si="41"/>
        <v>0</v>
      </c>
      <c r="R300">
        <f t="shared" si="42"/>
        <v>0</v>
      </c>
      <c r="S300">
        <v>0</v>
      </c>
      <c r="T300">
        <v>0</v>
      </c>
      <c r="U300">
        <v>0</v>
      </c>
      <c r="V300">
        <v>50</v>
      </c>
    </row>
    <row r="301" spans="1:22" x14ac:dyDescent="0.3">
      <c r="A301" t="s">
        <v>317</v>
      </c>
      <c r="B301" t="s">
        <v>347</v>
      </c>
      <c r="C301">
        <v>25</v>
      </c>
      <c r="D301" t="s">
        <v>46</v>
      </c>
      <c r="E301" t="s">
        <v>31</v>
      </c>
      <c r="F301" t="s">
        <v>38</v>
      </c>
      <c r="G301">
        <f t="shared" si="27"/>
        <v>2</v>
      </c>
      <c r="H301">
        <v>0</v>
      </c>
      <c r="I301">
        <f t="shared" si="36"/>
        <v>1</v>
      </c>
      <c r="J301">
        <v>0</v>
      </c>
      <c r="K301">
        <f t="shared" si="37"/>
        <v>0</v>
      </c>
      <c r="L301">
        <v>0</v>
      </c>
      <c r="M301">
        <f t="shared" si="38"/>
        <v>0</v>
      </c>
      <c r="N301">
        <f t="shared" si="39"/>
        <v>1</v>
      </c>
      <c r="O301">
        <f t="shared" si="40"/>
        <v>0</v>
      </c>
      <c r="P301">
        <v>0</v>
      </c>
      <c r="Q301">
        <f t="shared" si="41"/>
        <v>0</v>
      </c>
      <c r="R301">
        <f t="shared" si="42"/>
        <v>0</v>
      </c>
      <c r="S301">
        <v>0</v>
      </c>
      <c r="T301">
        <v>0</v>
      </c>
      <c r="U301">
        <v>0</v>
      </c>
      <c r="V301">
        <v>50</v>
      </c>
    </row>
    <row r="302" spans="1:22" x14ac:dyDescent="0.3">
      <c r="A302" t="s">
        <v>317</v>
      </c>
      <c r="B302" t="s">
        <v>348</v>
      </c>
      <c r="C302">
        <v>37</v>
      </c>
      <c r="D302" t="s">
        <v>46</v>
      </c>
      <c r="E302" t="s">
        <v>25</v>
      </c>
      <c r="F302" t="s">
        <v>65</v>
      </c>
      <c r="G302">
        <f t="shared" si="27"/>
        <v>3</v>
      </c>
      <c r="H302">
        <v>985</v>
      </c>
      <c r="I302">
        <f t="shared" si="36"/>
        <v>1</v>
      </c>
      <c r="J302">
        <v>0</v>
      </c>
      <c r="K302">
        <f t="shared" si="37"/>
        <v>0</v>
      </c>
      <c r="L302">
        <v>0</v>
      </c>
      <c r="M302">
        <f t="shared" si="38"/>
        <v>0</v>
      </c>
      <c r="N302">
        <f t="shared" si="39"/>
        <v>0</v>
      </c>
      <c r="O302">
        <f t="shared" si="40"/>
        <v>1</v>
      </c>
      <c r="P302">
        <v>0</v>
      </c>
      <c r="Q302">
        <f t="shared" si="41"/>
        <v>0</v>
      </c>
      <c r="R302">
        <f t="shared" si="42"/>
        <v>0</v>
      </c>
      <c r="S302">
        <v>0</v>
      </c>
      <c r="T302">
        <v>0</v>
      </c>
      <c r="U302">
        <v>0</v>
      </c>
      <c r="V302">
        <v>50</v>
      </c>
    </row>
    <row r="303" spans="1:22" x14ac:dyDescent="0.3">
      <c r="A303" t="s">
        <v>317</v>
      </c>
      <c r="B303" t="s">
        <v>349</v>
      </c>
      <c r="C303">
        <v>27</v>
      </c>
      <c r="D303" t="s">
        <v>46</v>
      </c>
      <c r="E303" t="s">
        <v>31</v>
      </c>
      <c r="F303" t="s">
        <v>38</v>
      </c>
      <c r="G303">
        <f t="shared" si="27"/>
        <v>2</v>
      </c>
      <c r="H303">
        <v>985</v>
      </c>
      <c r="I303">
        <f t="shared" si="36"/>
        <v>1</v>
      </c>
      <c r="J303">
        <v>0</v>
      </c>
      <c r="K303">
        <f t="shared" si="37"/>
        <v>0</v>
      </c>
      <c r="L303">
        <v>0</v>
      </c>
      <c r="M303">
        <f t="shared" si="38"/>
        <v>0</v>
      </c>
      <c r="N303">
        <f t="shared" si="39"/>
        <v>1</v>
      </c>
      <c r="O303">
        <f t="shared" si="40"/>
        <v>1</v>
      </c>
      <c r="P303">
        <v>0</v>
      </c>
      <c r="Q303">
        <f t="shared" si="41"/>
        <v>0</v>
      </c>
      <c r="R303">
        <f t="shared" si="42"/>
        <v>0</v>
      </c>
      <c r="S303">
        <v>0</v>
      </c>
      <c r="T303">
        <v>0</v>
      </c>
      <c r="U303">
        <v>0</v>
      </c>
      <c r="V303">
        <v>50</v>
      </c>
    </row>
    <row r="304" spans="1:22" x14ac:dyDescent="0.3">
      <c r="A304" t="s">
        <v>317</v>
      </c>
      <c r="B304" t="s">
        <v>350</v>
      </c>
      <c r="C304">
        <v>26</v>
      </c>
      <c r="D304" t="s">
        <v>46</v>
      </c>
      <c r="E304" t="s">
        <v>37</v>
      </c>
      <c r="F304" t="s">
        <v>38</v>
      </c>
      <c r="G304">
        <f t="shared" si="27"/>
        <v>2</v>
      </c>
      <c r="H304">
        <v>985</v>
      </c>
      <c r="I304">
        <f t="shared" si="36"/>
        <v>1</v>
      </c>
      <c r="J304">
        <v>0</v>
      </c>
      <c r="K304">
        <f t="shared" si="37"/>
        <v>0</v>
      </c>
      <c r="L304">
        <v>0</v>
      </c>
      <c r="M304">
        <f t="shared" si="38"/>
        <v>0</v>
      </c>
      <c r="N304">
        <f t="shared" si="39"/>
        <v>0</v>
      </c>
      <c r="O304">
        <f t="shared" si="40"/>
        <v>1</v>
      </c>
      <c r="P304">
        <v>0</v>
      </c>
      <c r="Q304">
        <f t="shared" si="41"/>
        <v>0</v>
      </c>
      <c r="R304">
        <f t="shared" si="42"/>
        <v>0</v>
      </c>
      <c r="S304">
        <v>0</v>
      </c>
      <c r="T304">
        <v>0</v>
      </c>
      <c r="U304">
        <v>0</v>
      </c>
      <c r="V304">
        <v>50</v>
      </c>
    </row>
    <row r="305" spans="1:22" x14ac:dyDescent="0.3">
      <c r="A305" t="s">
        <v>317</v>
      </c>
      <c r="B305" t="s">
        <v>351</v>
      </c>
      <c r="C305">
        <v>18</v>
      </c>
      <c r="D305" t="s">
        <v>73</v>
      </c>
      <c r="E305" t="s">
        <v>25</v>
      </c>
      <c r="F305" t="s">
        <v>65</v>
      </c>
      <c r="G305">
        <f t="shared" si="27"/>
        <v>3</v>
      </c>
      <c r="H305">
        <v>917</v>
      </c>
      <c r="I305">
        <f t="shared" si="36"/>
        <v>1</v>
      </c>
      <c r="J305">
        <v>0</v>
      </c>
      <c r="K305">
        <f t="shared" si="37"/>
        <v>0</v>
      </c>
      <c r="L305">
        <v>0</v>
      </c>
      <c r="M305">
        <f t="shared" si="38"/>
        <v>0</v>
      </c>
      <c r="N305">
        <f t="shared" si="39"/>
        <v>0</v>
      </c>
      <c r="O305">
        <f t="shared" si="40"/>
        <v>0</v>
      </c>
      <c r="P305">
        <v>0</v>
      </c>
      <c r="Q305">
        <f t="shared" si="41"/>
        <v>0</v>
      </c>
      <c r="R305">
        <f t="shared" si="42"/>
        <v>0</v>
      </c>
      <c r="S305">
        <v>0</v>
      </c>
      <c r="T305">
        <v>0</v>
      </c>
      <c r="U305">
        <v>0</v>
      </c>
      <c r="V305">
        <v>50</v>
      </c>
    </row>
    <row r="306" spans="1:22" x14ac:dyDescent="0.3">
      <c r="A306" t="s">
        <v>317</v>
      </c>
      <c r="B306" t="s">
        <v>352</v>
      </c>
      <c r="C306">
        <v>40</v>
      </c>
      <c r="D306" t="s">
        <v>54</v>
      </c>
      <c r="E306" t="s">
        <v>25</v>
      </c>
      <c r="F306" t="s">
        <v>65</v>
      </c>
      <c r="G306">
        <f t="shared" si="27"/>
        <v>3</v>
      </c>
      <c r="H306">
        <v>917</v>
      </c>
      <c r="I306">
        <f t="shared" si="36"/>
        <v>0</v>
      </c>
      <c r="J306">
        <v>0</v>
      </c>
      <c r="K306">
        <f t="shared" si="37"/>
        <v>0</v>
      </c>
      <c r="L306">
        <v>0</v>
      </c>
      <c r="M306">
        <f t="shared" si="38"/>
        <v>1</v>
      </c>
      <c r="N306">
        <f t="shared" si="39"/>
        <v>0</v>
      </c>
      <c r="O306">
        <f t="shared" si="40"/>
        <v>0</v>
      </c>
      <c r="P306">
        <v>0</v>
      </c>
      <c r="Q306">
        <f t="shared" si="41"/>
        <v>0</v>
      </c>
      <c r="R306">
        <f t="shared" si="42"/>
        <v>0</v>
      </c>
      <c r="S306">
        <v>0</v>
      </c>
      <c r="T306">
        <v>0</v>
      </c>
      <c r="U306">
        <v>0</v>
      </c>
      <c r="V306">
        <v>50</v>
      </c>
    </row>
    <row r="307" spans="1:22" x14ac:dyDescent="0.3">
      <c r="A307" t="s">
        <v>317</v>
      </c>
      <c r="B307" t="s">
        <v>353</v>
      </c>
      <c r="C307">
        <v>37</v>
      </c>
      <c r="D307" t="s">
        <v>30</v>
      </c>
      <c r="E307" t="s">
        <v>25</v>
      </c>
      <c r="F307" t="s">
        <v>65</v>
      </c>
      <c r="G307">
        <f t="shared" si="27"/>
        <v>3</v>
      </c>
      <c r="H307">
        <v>910</v>
      </c>
      <c r="I307">
        <f t="shared" si="36"/>
        <v>0</v>
      </c>
      <c r="J307">
        <v>0</v>
      </c>
      <c r="K307">
        <f t="shared" si="37"/>
        <v>0</v>
      </c>
      <c r="L307">
        <v>0</v>
      </c>
      <c r="M307">
        <f t="shared" si="38"/>
        <v>1</v>
      </c>
      <c r="N307">
        <f t="shared" si="39"/>
        <v>0</v>
      </c>
      <c r="O307">
        <f t="shared" si="40"/>
        <v>0</v>
      </c>
      <c r="P307">
        <v>0</v>
      </c>
      <c r="Q307">
        <f t="shared" si="41"/>
        <v>0</v>
      </c>
      <c r="R307">
        <f t="shared" si="42"/>
        <v>0</v>
      </c>
      <c r="S307">
        <v>0</v>
      </c>
      <c r="T307">
        <v>0</v>
      </c>
      <c r="U307">
        <v>0</v>
      </c>
      <c r="V307">
        <v>50</v>
      </c>
    </row>
    <row r="308" spans="1:22" x14ac:dyDescent="0.3">
      <c r="A308" t="s">
        <v>317</v>
      </c>
      <c r="B308" t="s">
        <v>354</v>
      </c>
      <c r="C308">
        <v>30</v>
      </c>
      <c r="D308" t="s">
        <v>56</v>
      </c>
      <c r="E308" t="s">
        <v>28</v>
      </c>
      <c r="F308" t="s">
        <v>65</v>
      </c>
      <c r="G308">
        <f t="shared" si="27"/>
        <v>3</v>
      </c>
      <c r="H308">
        <v>855</v>
      </c>
      <c r="I308">
        <f t="shared" si="36"/>
        <v>0</v>
      </c>
      <c r="J308">
        <v>0</v>
      </c>
      <c r="K308">
        <f t="shared" si="37"/>
        <v>0</v>
      </c>
      <c r="L308">
        <v>0</v>
      </c>
      <c r="M308">
        <f t="shared" si="38"/>
        <v>0</v>
      </c>
      <c r="N308">
        <f t="shared" si="39"/>
        <v>0</v>
      </c>
      <c r="O308">
        <f t="shared" si="40"/>
        <v>0</v>
      </c>
      <c r="P308">
        <v>0</v>
      </c>
      <c r="Q308">
        <f t="shared" si="41"/>
        <v>0</v>
      </c>
      <c r="R308">
        <f t="shared" si="42"/>
        <v>0</v>
      </c>
      <c r="S308">
        <v>0</v>
      </c>
      <c r="T308">
        <v>0</v>
      </c>
      <c r="U308">
        <v>0</v>
      </c>
      <c r="V308">
        <v>50</v>
      </c>
    </row>
    <row r="309" spans="1:22" x14ac:dyDescent="0.3">
      <c r="A309" t="s">
        <v>317</v>
      </c>
      <c r="B309" t="s">
        <v>355</v>
      </c>
      <c r="C309">
        <v>15</v>
      </c>
      <c r="D309" t="s">
        <v>73</v>
      </c>
      <c r="E309" t="s">
        <v>25</v>
      </c>
      <c r="F309" t="s">
        <v>38</v>
      </c>
      <c r="G309">
        <f t="shared" si="27"/>
        <v>2</v>
      </c>
      <c r="H309">
        <v>679</v>
      </c>
      <c r="I309">
        <f t="shared" si="36"/>
        <v>1</v>
      </c>
      <c r="J309">
        <v>0</v>
      </c>
      <c r="K309">
        <f t="shared" si="37"/>
        <v>0</v>
      </c>
      <c r="L309">
        <v>0</v>
      </c>
      <c r="M309">
        <f t="shared" si="38"/>
        <v>0</v>
      </c>
      <c r="N309">
        <f t="shared" si="39"/>
        <v>0</v>
      </c>
      <c r="O309">
        <f t="shared" si="40"/>
        <v>0</v>
      </c>
      <c r="P309">
        <v>0</v>
      </c>
      <c r="Q309">
        <f t="shared" si="41"/>
        <v>0</v>
      </c>
      <c r="R309">
        <f t="shared" si="42"/>
        <v>0</v>
      </c>
      <c r="S309">
        <v>0</v>
      </c>
      <c r="T309">
        <v>0</v>
      </c>
      <c r="U309">
        <v>0</v>
      </c>
      <c r="V309">
        <v>50</v>
      </c>
    </row>
    <row r="310" spans="1:22" x14ac:dyDescent="0.3">
      <c r="A310" t="s">
        <v>317</v>
      </c>
      <c r="B310" t="s">
        <v>356</v>
      </c>
      <c r="C310">
        <v>17</v>
      </c>
      <c r="D310" t="s">
        <v>56</v>
      </c>
      <c r="E310" t="s">
        <v>37</v>
      </c>
      <c r="F310" t="s">
        <v>38</v>
      </c>
      <c r="G310">
        <f t="shared" si="27"/>
        <v>2</v>
      </c>
      <c r="H310">
        <v>818</v>
      </c>
      <c r="I310">
        <f t="shared" si="36"/>
        <v>0</v>
      </c>
      <c r="J310">
        <v>0</v>
      </c>
      <c r="K310">
        <f t="shared" si="37"/>
        <v>0</v>
      </c>
      <c r="L310">
        <v>0</v>
      </c>
      <c r="M310">
        <f t="shared" si="38"/>
        <v>0</v>
      </c>
      <c r="N310">
        <f t="shared" si="39"/>
        <v>0</v>
      </c>
      <c r="O310">
        <f t="shared" si="40"/>
        <v>0</v>
      </c>
      <c r="P310">
        <v>0</v>
      </c>
      <c r="Q310">
        <f t="shared" si="41"/>
        <v>0</v>
      </c>
      <c r="R310">
        <f t="shared" si="42"/>
        <v>0</v>
      </c>
      <c r="S310">
        <v>0</v>
      </c>
      <c r="T310">
        <v>0</v>
      </c>
      <c r="U310">
        <v>0</v>
      </c>
      <c r="V310">
        <v>50</v>
      </c>
    </row>
    <row r="311" spans="1:22" x14ac:dyDescent="0.3">
      <c r="A311" t="s">
        <v>317</v>
      </c>
      <c r="B311" t="s">
        <v>357</v>
      </c>
      <c r="C311">
        <v>29</v>
      </c>
      <c r="D311" t="s">
        <v>54</v>
      </c>
      <c r="E311" t="s">
        <v>28</v>
      </c>
      <c r="F311" t="s">
        <v>38</v>
      </c>
      <c r="G311">
        <f t="shared" si="27"/>
        <v>2</v>
      </c>
      <c r="H311">
        <v>704</v>
      </c>
      <c r="I311">
        <f t="shared" si="36"/>
        <v>0</v>
      </c>
      <c r="J311">
        <v>0</v>
      </c>
      <c r="K311">
        <f t="shared" si="37"/>
        <v>0</v>
      </c>
      <c r="L311">
        <v>0</v>
      </c>
      <c r="M311">
        <f t="shared" si="38"/>
        <v>1</v>
      </c>
      <c r="N311">
        <f t="shared" si="39"/>
        <v>0</v>
      </c>
      <c r="O311">
        <f t="shared" si="40"/>
        <v>0</v>
      </c>
      <c r="P311">
        <v>0</v>
      </c>
      <c r="Q311">
        <f t="shared" si="41"/>
        <v>0</v>
      </c>
      <c r="R311">
        <f t="shared" si="42"/>
        <v>0</v>
      </c>
      <c r="S311">
        <v>0</v>
      </c>
      <c r="T311">
        <v>0</v>
      </c>
      <c r="U311">
        <v>0</v>
      </c>
      <c r="V311">
        <v>50</v>
      </c>
    </row>
    <row r="312" spans="1:22" x14ac:dyDescent="0.3">
      <c r="A312" t="s">
        <v>317</v>
      </c>
      <c r="B312" t="s">
        <v>358</v>
      </c>
      <c r="C312">
        <v>37</v>
      </c>
      <c r="D312" t="s">
        <v>54</v>
      </c>
      <c r="E312" t="s">
        <v>25</v>
      </c>
      <c r="F312" t="s">
        <v>65</v>
      </c>
      <c r="G312">
        <f t="shared" si="27"/>
        <v>3</v>
      </c>
      <c r="H312">
        <v>281</v>
      </c>
      <c r="I312">
        <f t="shared" si="36"/>
        <v>0</v>
      </c>
      <c r="J312">
        <v>0</v>
      </c>
      <c r="K312">
        <f t="shared" si="37"/>
        <v>0</v>
      </c>
      <c r="L312">
        <v>0</v>
      </c>
      <c r="M312">
        <f t="shared" si="38"/>
        <v>1</v>
      </c>
      <c r="N312">
        <f t="shared" si="39"/>
        <v>0</v>
      </c>
      <c r="O312">
        <f t="shared" si="40"/>
        <v>0</v>
      </c>
      <c r="P312">
        <v>0</v>
      </c>
      <c r="Q312">
        <f t="shared" si="41"/>
        <v>0</v>
      </c>
      <c r="R312">
        <f t="shared" si="42"/>
        <v>0</v>
      </c>
      <c r="S312">
        <v>0</v>
      </c>
      <c r="T312">
        <v>0</v>
      </c>
      <c r="U312">
        <v>0</v>
      </c>
      <c r="V312">
        <v>50</v>
      </c>
    </row>
    <row r="313" spans="1:22" x14ac:dyDescent="0.3">
      <c r="A313" t="s">
        <v>317</v>
      </c>
      <c r="B313" t="s">
        <v>359</v>
      </c>
      <c r="C313">
        <v>24</v>
      </c>
      <c r="D313" t="s">
        <v>73</v>
      </c>
      <c r="E313" t="s">
        <v>28</v>
      </c>
      <c r="F313" t="s">
        <v>65</v>
      </c>
      <c r="G313">
        <f t="shared" si="27"/>
        <v>3</v>
      </c>
      <c r="H313">
        <v>209</v>
      </c>
      <c r="I313">
        <f t="shared" si="36"/>
        <v>1</v>
      </c>
      <c r="J313">
        <v>0</v>
      </c>
      <c r="K313">
        <f t="shared" si="37"/>
        <v>0</v>
      </c>
      <c r="L313">
        <v>0</v>
      </c>
      <c r="M313">
        <f t="shared" si="38"/>
        <v>0</v>
      </c>
      <c r="N313">
        <f t="shared" si="39"/>
        <v>0</v>
      </c>
      <c r="O313">
        <f t="shared" si="40"/>
        <v>0</v>
      </c>
      <c r="P313">
        <v>0</v>
      </c>
      <c r="Q313">
        <f t="shared" si="41"/>
        <v>0</v>
      </c>
      <c r="R313">
        <f t="shared" si="42"/>
        <v>0</v>
      </c>
      <c r="S313">
        <v>0</v>
      </c>
      <c r="T313">
        <v>0</v>
      </c>
      <c r="U313">
        <v>0</v>
      </c>
      <c r="V313">
        <v>50</v>
      </c>
    </row>
    <row r="314" spans="1:22" x14ac:dyDescent="0.3">
      <c r="A314" t="s">
        <v>317</v>
      </c>
      <c r="B314" t="s">
        <v>360</v>
      </c>
      <c r="C314">
        <v>40</v>
      </c>
      <c r="D314" t="s">
        <v>30</v>
      </c>
      <c r="E314" t="s">
        <v>28</v>
      </c>
      <c r="F314" t="s">
        <v>65</v>
      </c>
      <c r="G314">
        <f t="shared" si="27"/>
        <v>3</v>
      </c>
      <c r="H314">
        <v>183</v>
      </c>
      <c r="I314">
        <f t="shared" si="36"/>
        <v>0</v>
      </c>
      <c r="J314">
        <v>0</v>
      </c>
      <c r="K314">
        <f t="shared" si="37"/>
        <v>0</v>
      </c>
      <c r="L314">
        <v>0</v>
      </c>
      <c r="M314">
        <f t="shared" si="38"/>
        <v>1</v>
      </c>
      <c r="N314">
        <f t="shared" si="39"/>
        <v>0</v>
      </c>
      <c r="O314">
        <f t="shared" si="40"/>
        <v>0</v>
      </c>
      <c r="P314">
        <v>0</v>
      </c>
      <c r="Q314">
        <f t="shared" si="41"/>
        <v>0</v>
      </c>
      <c r="R314">
        <f t="shared" si="42"/>
        <v>0</v>
      </c>
      <c r="S314">
        <v>0</v>
      </c>
      <c r="T314">
        <v>0</v>
      </c>
      <c r="U314">
        <v>0</v>
      </c>
      <c r="V314">
        <v>50</v>
      </c>
    </row>
    <row r="315" spans="1:22" x14ac:dyDescent="0.3">
      <c r="A315" t="s">
        <v>317</v>
      </c>
      <c r="B315" t="s">
        <v>361</v>
      </c>
      <c r="C315">
        <v>22</v>
      </c>
      <c r="D315" t="s">
        <v>73</v>
      </c>
      <c r="E315" t="s">
        <v>34</v>
      </c>
      <c r="F315" t="s">
        <v>38</v>
      </c>
      <c r="G315">
        <f t="shared" si="27"/>
        <v>2</v>
      </c>
      <c r="H315">
        <v>312</v>
      </c>
      <c r="I315">
        <f t="shared" si="36"/>
        <v>1</v>
      </c>
      <c r="J315">
        <v>0</v>
      </c>
      <c r="K315">
        <f t="shared" si="37"/>
        <v>0</v>
      </c>
      <c r="L315">
        <v>0</v>
      </c>
      <c r="M315">
        <f t="shared" si="38"/>
        <v>0</v>
      </c>
      <c r="N315">
        <f t="shared" si="39"/>
        <v>0</v>
      </c>
      <c r="O315">
        <f t="shared" si="40"/>
        <v>0</v>
      </c>
      <c r="P315">
        <v>0</v>
      </c>
      <c r="Q315">
        <f t="shared" si="41"/>
        <v>0</v>
      </c>
      <c r="R315">
        <f t="shared" si="42"/>
        <v>0</v>
      </c>
      <c r="S315">
        <v>0</v>
      </c>
      <c r="T315">
        <v>0</v>
      </c>
      <c r="U315">
        <v>0</v>
      </c>
      <c r="V315">
        <v>50</v>
      </c>
    </row>
    <row r="316" spans="1:22" x14ac:dyDescent="0.3">
      <c r="A316" t="s">
        <v>317</v>
      </c>
      <c r="B316" t="s">
        <v>362</v>
      </c>
      <c r="C316">
        <v>23</v>
      </c>
      <c r="D316" t="s">
        <v>56</v>
      </c>
      <c r="E316" t="s">
        <v>25</v>
      </c>
      <c r="F316" t="s">
        <v>65</v>
      </c>
      <c r="G316">
        <f t="shared" si="27"/>
        <v>3</v>
      </c>
      <c r="H316">
        <v>357</v>
      </c>
      <c r="I316">
        <f t="shared" si="36"/>
        <v>0</v>
      </c>
      <c r="J316">
        <v>0</v>
      </c>
      <c r="K316">
        <f t="shared" si="37"/>
        <v>0</v>
      </c>
      <c r="L316">
        <v>0</v>
      </c>
      <c r="M316">
        <f t="shared" si="38"/>
        <v>0</v>
      </c>
      <c r="N316">
        <f t="shared" si="39"/>
        <v>0</v>
      </c>
      <c r="O316">
        <f t="shared" si="40"/>
        <v>0</v>
      </c>
      <c r="P316">
        <v>0</v>
      </c>
      <c r="Q316">
        <f t="shared" si="41"/>
        <v>0</v>
      </c>
      <c r="R316">
        <f t="shared" si="42"/>
        <v>0</v>
      </c>
      <c r="S316">
        <v>0</v>
      </c>
      <c r="T316">
        <v>0</v>
      </c>
      <c r="U316">
        <v>0</v>
      </c>
      <c r="V316">
        <v>50</v>
      </c>
    </row>
    <row r="317" spans="1:22" x14ac:dyDescent="0.3">
      <c r="A317" t="s">
        <v>317</v>
      </c>
      <c r="B317" t="s">
        <v>363</v>
      </c>
      <c r="C317">
        <v>27</v>
      </c>
      <c r="D317" t="s">
        <v>73</v>
      </c>
      <c r="E317" t="s">
        <v>28</v>
      </c>
      <c r="F317" t="s">
        <v>65</v>
      </c>
      <c r="G317">
        <f t="shared" si="27"/>
        <v>3</v>
      </c>
      <c r="H317">
        <v>277</v>
      </c>
      <c r="I317">
        <f t="shared" si="36"/>
        <v>1</v>
      </c>
      <c r="J317">
        <v>0</v>
      </c>
      <c r="K317">
        <f t="shared" si="37"/>
        <v>0</v>
      </c>
      <c r="L317">
        <v>0</v>
      </c>
      <c r="M317">
        <f t="shared" si="38"/>
        <v>0</v>
      </c>
      <c r="N317">
        <f t="shared" si="39"/>
        <v>0</v>
      </c>
      <c r="O317">
        <f t="shared" si="40"/>
        <v>0</v>
      </c>
      <c r="P317">
        <v>0</v>
      </c>
      <c r="Q317">
        <f t="shared" si="41"/>
        <v>0</v>
      </c>
      <c r="R317">
        <f t="shared" si="42"/>
        <v>0</v>
      </c>
      <c r="S317">
        <v>0</v>
      </c>
      <c r="T317">
        <v>0</v>
      </c>
      <c r="U317">
        <v>0</v>
      </c>
      <c r="V317">
        <v>50</v>
      </c>
    </row>
    <row r="318" spans="1:22" x14ac:dyDescent="0.3">
      <c r="A318" t="s">
        <v>317</v>
      </c>
      <c r="B318" t="s">
        <v>364</v>
      </c>
      <c r="C318">
        <v>38</v>
      </c>
      <c r="D318" t="s">
        <v>30</v>
      </c>
      <c r="E318" t="s">
        <v>31</v>
      </c>
      <c r="F318" t="s">
        <v>65</v>
      </c>
      <c r="G318">
        <f t="shared" si="27"/>
        <v>3</v>
      </c>
      <c r="H318">
        <v>0</v>
      </c>
      <c r="I318">
        <f t="shared" si="36"/>
        <v>0</v>
      </c>
      <c r="J318">
        <v>0</v>
      </c>
      <c r="K318">
        <f t="shared" si="37"/>
        <v>0</v>
      </c>
      <c r="L318">
        <v>0</v>
      </c>
      <c r="M318">
        <f t="shared" si="38"/>
        <v>1</v>
      </c>
      <c r="N318">
        <f t="shared" si="39"/>
        <v>0</v>
      </c>
      <c r="O318">
        <f t="shared" si="40"/>
        <v>0</v>
      </c>
      <c r="P318">
        <v>0</v>
      </c>
      <c r="Q318">
        <f t="shared" si="41"/>
        <v>0</v>
      </c>
      <c r="R318">
        <f t="shared" si="42"/>
        <v>0</v>
      </c>
      <c r="S318">
        <v>0</v>
      </c>
      <c r="T318">
        <v>0</v>
      </c>
      <c r="U318">
        <v>0</v>
      </c>
      <c r="V318">
        <v>50</v>
      </c>
    </row>
    <row r="319" spans="1:22" x14ac:dyDescent="0.3">
      <c r="A319" t="s">
        <v>317</v>
      </c>
      <c r="B319" t="s">
        <v>365</v>
      </c>
      <c r="C319">
        <v>19</v>
      </c>
      <c r="D319" t="s">
        <v>54</v>
      </c>
      <c r="E319" t="s">
        <v>34</v>
      </c>
      <c r="F319" t="s">
        <v>60</v>
      </c>
      <c r="G319">
        <f t="shared" si="27"/>
        <v>1</v>
      </c>
      <c r="H319">
        <v>0</v>
      </c>
      <c r="I319">
        <f t="shared" si="36"/>
        <v>0</v>
      </c>
      <c r="J319">
        <v>0</v>
      </c>
      <c r="K319">
        <f t="shared" si="37"/>
        <v>0</v>
      </c>
      <c r="L319">
        <v>0</v>
      </c>
      <c r="M319">
        <f t="shared" si="38"/>
        <v>1</v>
      </c>
      <c r="N319">
        <f t="shared" si="39"/>
        <v>0</v>
      </c>
      <c r="O319">
        <f t="shared" si="40"/>
        <v>0</v>
      </c>
      <c r="P319">
        <v>0</v>
      </c>
      <c r="Q319">
        <f t="shared" si="41"/>
        <v>0</v>
      </c>
      <c r="R319">
        <f t="shared" si="42"/>
        <v>0</v>
      </c>
      <c r="S319">
        <v>0</v>
      </c>
      <c r="T319">
        <v>0</v>
      </c>
      <c r="U319">
        <v>0</v>
      </c>
      <c r="V319">
        <v>50</v>
      </c>
    </row>
    <row r="320" spans="1:22" x14ac:dyDescent="0.3">
      <c r="A320" t="s">
        <v>317</v>
      </c>
      <c r="B320" t="s">
        <v>366</v>
      </c>
      <c r="C320">
        <v>33</v>
      </c>
      <c r="D320" t="s">
        <v>54</v>
      </c>
      <c r="E320" t="s">
        <v>31</v>
      </c>
      <c r="F320" t="s">
        <v>38</v>
      </c>
      <c r="G320">
        <f t="shared" si="27"/>
        <v>2</v>
      </c>
      <c r="H320">
        <v>0</v>
      </c>
      <c r="I320">
        <f t="shared" si="36"/>
        <v>0</v>
      </c>
      <c r="J320">
        <v>0</v>
      </c>
      <c r="K320">
        <f t="shared" si="37"/>
        <v>0</v>
      </c>
      <c r="L320">
        <v>0</v>
      </c>
      <c r="M320">
        <f t="shared" si="38"/>
        <v>1</v>
      </c>
      <c r="N320">
        <f t="shared" si="39"/>
        <v>0</v>
      </c>
      <c r="O320">
        <f t="shared" si="40"/>
        <v>0</v>
      </c>
      <c r="P320">
        <v>0</v>
      </c>
      <c r="Q320">
        <f t="shared" si="41"/>
        <v>0</v>
      </c>
      <c r="R320">
        <f t="shared" si="42"/>
        <v>0</v>
      </c>
      <c r="S320">
        <v>0</v>
      </c>
      <c r="T320">
        <v>0</v>
      </c>
      <c r="U320">
        <v>0</v>
      </c>
      <c r="V320">
        <v>50</v>
      </c>
    </row>
    <row r="321" spans="1:22" x14ac:dyDescent="0.3">
      <c r="A321" t="s">
        <v>317</v>
      </c>
      <c r="B321" t="s">
        <v>367</v>
      </c>
      <c r="C321">
        <v>15</v>
      </c>
      <c r="D321" t="s">
        <v>73</v>
      </c>
      <c r="E321" t="s">
        <v>28</v>
      </c>
      <c r="F321" t="s">
        <v>38</v>
      </c>
      <c r="G321">
        <f t="shared" si="27"/>
        <v>2</v>
      </c>
      <c r="H321">
        <v>105</v>
      </c>
      <c r="I321">
        <f t="shared" si="36"/>
        <v>1</v>
      </c>
      <c r="J321">
        <v>0</v>
      </c>
      <c r="K321">
        <f t="shared" si="37"/>
        <v>0</v>
      </c>
      <c r="L321">
        <v>0</v>
      </c>
      <c r="M321">
        <f t="shared" si="38"/>
        <v>0</v>
      </c>
      <c r="N321">
        <f t="shared" si="39"/>
        <v>0</v>
      </c>
      <c r="O321">
        <f t="shared" si="40"/>
        <v>0</v>
      </c>
      <c r="P321">
        <v>0</v>
      </c>
      <c r="Q321">
        <f t="shared" si="41"/>
        <v>0</v>
      </c>
      <c r="R321">
        <f t="shared" si="42"/>
        <v>0</v>
      </c>
      <c r="S321">
        <v>0</v>
      </c>
      <c r="T321">
        <v>0</v>
      </c>
      <c r="U321">
        <v>0</v>
      </c>
      <c r="V321">
        <v>50</v>
      </c>
    </row>
    <row r="322" spans="1:22" x14ac:dyDescent="0.3">
      <c r="A322" t="s">
        <v>317</v>
      </c>
      <c r="B322" t="s">
        <v>368</v>
      </c>
      <c r="C322">
        <v>12</v>
      </c>
      <c r="D322" t="s">
        <v>56</v>
      </c>
      <c r="E322" t="s">
        <v>369</v>
      </c>
      <c r="F322" t="s">
        <v>38</v>
      </c>
      <c r="G322">
        <f t="shared" si="27"/>
        <v>2</v>
      </c>
      <c r="H322">
        <v>0</v>
      </c>
      <c r="I322">
        <f t="shared" si="36"/>
        <v>0</v>
      </c>
      <c r="J322">
        <v>0</v>
      </c>
      <c r="K322">
        <f t="shared" si="37"/>
        <v>0</v>
      </c>
      <c r="L322">
        <v>0</v>
      </c>
      <c r="M322">
        <f t="shared" si="38"/>
        <v>0</v>
      </c>
      <c r="N322">
        <f t="shared" si="39"/>
        <v>0</v>
      </c>
      <c r="O322">
        <f t="shared" si="40"/>
        <v>0</v>
      </c>
      <c r="P322">
        <v>0</v>
      </c>
      <c r="Q322">
        <f t="shared" si="41"/>
        <v>0</v>
      </c>
      <c r="R322">
        <f t="shared" si="42"/>
        <v>0</v>
      </c>
      <c r="S322">
        <v>0</v>
      </c>
      <c r="T322">
        <v>0</v>
      </c>
      <c r="U322">
        <v>0</v>
      </c>
      <c r="V322">
        <v>50</v>
      </c>
    </row>
    <row r="323" spans="1:22" x14ac:dyDescent="0.3">
      <c r="A323" t="s">
        <v>317</v>
      </c>
      <c r="B323" t="s">
        <v>303</v>
      </c>
      <c r="C323">
        <v>23</v>
      </c>
      <c r="D323" t="s">
        <v>56</v>
      </c>
      <c r="E323" t="s">
        <v>37</v>
      </c>
      <c r="F323" t="s">
        <v>65</v>
      </c>
      <c r="G323">
        <f t="shared" si="27"/>
        <v>3</v>
      </c>
      <c r="H323">
        <v>41</v>
      </c>
      <c r="I323">
        <f t="shared" si="36"/>
        <v>0</v>
      </c>
      <c r="J323">
        <v>0</v>
      </c>
      <c r="K323">
        <f t="shared" si="37"/>
        <v>0</v>
      </c>
      <c r="L323">
        <v>0</v>
      </c>
      <c r="M323">
        <f t="shared" si="38"/>
        <v>0</v>
      </c>
      <c r="N323">
        <f t="shared" si="39"/>
        <v>0</v>
      </c>
      <c r="O323">
        <f t="shared" si="40"/>
        <v>0</v>
      </c>
      <c r="P323">
        <v>0</v>
      </c>
      <c r="Q323">
        <f t="shared" si="41"/>
        <v>0</v>
      </c>
      <c r="R323">
        <f t="shared" si="42"/>
        <v>0</v>
      </c>
      <c r="S323">
        <v>0</v>
      </c>
      <c r="T323">
        <v>0</v>
      </c>
      <c r="U323">
        <v>0</v>
      </c>
      <c r="V323">
        <v>50</v>
      </c>
    </row>
    <row r="324" spans="1:22" x14ac:dyDescent="0.3">
      <c r="A324" t="s">
        <v>317</v>
      </c>
      <c r="B324" t="s">
        <v>370</v>
      </c>
      <c r="C324">
        <v>24</v>
      </c>
      <c r="D324" t="s">
        <v>56</v>
      </c>
      <c r="E324" t="s">
        <v>37</v>
      </c>
      <c r="F324" t="s">
        <v>65</v>
      </c>
      <c r="G324">
        <f t="shared" si="27"/>
        <v>3</v>
      </c>
      <c r="H324">
        <v>0</v>
      </c>
      <c r="I324">
        <f t="shared" si="36"/>
        <v>0</v>
      </c>
      <c r="J324">
        <v>0</v>
      </c>
      <c r="K324">
        <f t="shared" si="37"/>
        <v>0</v>
      </c>
      <c r="L324">
        <v>0</v>
      </c>
      <c r="M324">
        <f t="shared" si="38"/>
        <v>0</v>
      </c>
      <c r="N324">
        <f t="shared" si="39"/>
        <v>0</v>
      </c>
      <c r="O324">
        <f t="shared" si="40"/>
        <v>0</v>
      </c>
      <c r="P324">
        <v>0</v>
      </c>
      <c r="Q324">
        <f t="shared" si="41"/>
        <v>0</v>
      </c>
      <c r="R324">
        <f t="shared" si="42"/>
        <v>0</v>
      </c>
      <c r="S324">
        <v>0</v>
      </c>
      <c r="T324">
        <v>0</v>
      </c>
      <c r="U324">
        <v>0</v>
      </c>
      <c r="V324">
        <v>50</v>
      </c>
    </row>
    <row r="325" spans="1:22" x14ac:dyDescent="0.3">
      <c r="A325" t="s">
        <v>317</v>
      </c>
      <c r="B325" t="s">
        <v>371</v>
      </c>
      <c r="C325">
        <v>17</v>
      </c>
      <c r="D325" t="s">
        <v>56</v>
      </c>
      <c r="E325" t="s">
        <v>31</v>
      </c>
      <c r="F325" t="s">
        <v>38</v>
      </c>
      <c r="G325">
        <f t="shared" si="27"/>
        <v>2</v>
      </c>
      <c r="H325">
        <v>0</v>
      </c>
      <c r="I325">
        <f t="shared" si="36"/>
        <v>0</v>
      </c>
      <c r="J325">
        <v>0</v>
      </c>
      <c r="K325">
        <f t="shared" si="37"/>
        <v>0</v>
      </c>
      <c r="L325">
        <v>0</v>
      </c>
      <c r="M325">
        <f t="shared" si="38"/>
        <v>0</v>
      </c>
      <c r="N325">
        <f t="shared" si="39"/>
        <v>0</v>
      </c>
      <c r="O325">
        <f t="shared" si="40"/>
        <v>0</v>
      </c>
      <c r="P325">
        <v>0</v>
      </c>
      <c r="Q325">
        <f t="shared" si="41"/>
        <v>0</v>
      </c>
      <c r="R325">
        <f t="shared" si="42"/>
        <v>0</v>
      </c>
      <c r="S325">
        <v>0</v>
      </c>
      <c r="T325">
        <v>0</v>
      </c>
      <c r="U325">
        <v>0</v>
      </c>
      <c r="V325">
        <v>50</v>
      </c>
    </row>
    <row r="326" spans="1:22" x14ac:dyDescent="0.3">
      <c r="A326" t="s">
        <v>317</v>
      </c>
      <c r="B326" t="s">
        <v>372</v>
      </c>
      <c r="C326">
        <v>31</v>
      </c>
      <c r="D326" t="s">
        <v>30</v>
      </c>
      <c r="E326" t="s">
        <v>31</v>
      </c>
      <c r="F326" t="s">
        <v>38</v>
      </c>
      <c r="G326">
        <f t="shared" si="27"/>
        <v>2</v>
      </c>
      <c r="H326">
        <v>0</v>
      </c>
      <c r="I326">
        <f t="shared" si="36"/>
        <v>0</v>
      </c>
      <c r="J326">
        <v>0</v>
      </c>
      <c r="K326">
        <f t="shared" si="37"/>
        <v>0</v>
      </c>
      <c r="L326">
        <v>0</v>
      </c>
      <c r="M326">
        <f t="shared" si="38"/>
        <v>1</v>
      </c>
      <c r="N326">
        <f t="shared" si="39"/>
        <v>0</v>
      </c>
      <c r="O326">
        <f t="shared" si="40"/>
        <v>0</v>
      </c>
      <c r="P326">
        <v>0</v>
      </c>
      <c r="Q326">
        <f t="shared" si="41"/>
        <v>0</v>
      </c>
      <c r="R326">
        <f t="shared" si="42"/>
        <v>0</v>
      </c>
      <c r="S326">
        <v>0</v>
      </c>
      <c r="T326">
        <v>0</v>
      </c>
      <c r="U326">
        <v>0</v>
      </c>
      <c r="V326">
        <v>50</v>
      </c>
    </row>
    <row r="327" spans="1:22" x14ac:dyDescent="0.3">
      <c r="A327" t="s">
        <v>317</v>
      </c>
      <c r="B327" t="s">
        <v>373</v>
      </c>
      <c r="C327">
        <v>27</v>
      </c>
      <c r="D327" t="s">
        <v>56</v>
      </c>
      <c r="E327" t="s">
        <v>31</v>
      </c>
      <c r="F327" t="s">
        <v>65</v>
      </c>
      <c r="G327">
        <f t="shared" si="27"/>
        <v>3</v>
      </c>
      <c r="H327">
        <v>0</v>
      </c>
      <c r="I327">
        <f t="shared" si="36"/>
        <v>0</v>
      </c>
      <c r="J327">
        <v>0</v>
      </c>
      <c r="K327">
        <f t="shared" si="37"/>
        <v>0</v>
      </c>
      <c r="L327">
        <v>0</v>
      </c>
      <c r="M327">
        <f t="shared" si="38"/>
        <v>0</v>
      </c>
      <c r="N327">
        <f t="shared" si="39"/>
        <v>0</v>
      </c>
      <c r="O327">
        <f t="shared" si="40"/>
        <v>0</v>
      </c>
      <c r="P327">
        <v>0</v>
      </c>
      <c r="Q327">
        <f t="shared" si="41"/>
        <v>0</v>
      </c>
      <c r="R327">
        <f t="shared" si="42"/>
        <v>0</v>
      </c>
      <c r="S327">
        <v>0</v>
      </c>
      <c r="T327">
        <v>0</v>
      </c>
      <c r="U327">
        <v>0</v>
      </c>
      <c r="V327">
        <v>50</v>
      </c>
    </row>
    <row r="328" spans="1:22" x14ac:dyDescent="0.3">
      <c r="A328" t="s">
        <v>317</v>
      </c>
      <c r="B328" t="s">
        <v>374</v>
      </c>
      <c r="C328">
        <v>20</v>
      </c>
      <c r="D328" t="s">
        <v>54</v>
      </c>
      <c r="E328" t="s">
        <v>34</v>
      </c>
      <c r="F328" t="s">
        <v>60</v>
      </c>
      <c r="G328">
        <f t="shared" si="27"/>
        <v>1</v>
      </c>
      <c r="H328">
        <v>0</v>
      </c>
      <c r="I328">
        <f t="shared" si="36"/>
        <v>0</v>
      </c>
      <c r="J328">
        <v>0</v>
      </c>
      <c r="K328">
        <f t="shared" si="37"/>
        <v>0</v>
      </c>
      <c r="L328">
        <v>0</v>
      </c>
      <c r="M328">
        <f t="shared" si="38"/>
        <v>1</v>
      </c>
      <c r="N328">
        <f t="shared" si="39"/>
        <v>0</v>
      </c>
      <c r="O328">
        <f t="shared" si="40"/>
        <v>0</v>
      </c>
      <c r="P328">
        <v>0</v>
      </c>
      <c r="Q328">
        <f t="shared" si="41"/>
        <v>0</v>
      </c>
      <c r="R328">
        <f t="shared" si="42"/>
        <v>0</v>
      </c>
      <c r="S328">
        <v>0</v>
      </c>
      <c r="T328">
        <v>0</v>
      </c>
      <c r="U328">
        <v>0</v>
      </c>
      <c r="V328">
        <v>50</v>
      </c>
    </row>
    <row r="329" spans="1:22" x14ac:dyDescent="0.3">
      <c r="A329" t="s">
        <v>317</v>
      </c>
      <c r="B329" t="s">
        <v>375</v>
      </c>
      <c r="C329">
        <v>26</v>
      </c>
      <c r="D329" t="s">
        <v>30</v>
      </c>
      <c r="E329" t="s">
        <v>41</v>
      </c>
      <c r="F329" t="s">
        <v>38</v>
      </c>
      <c r="G329">
        <f t="shared" si="27"/>
        <v>2</v>
      </c>
      <c r="H329">
        <v>0</v>
      </c>
      <c r="I329">
        <f t="shared" si="36"/>
        <v>0</v>
      </c>
      <c r="J329">
        <v>0</v>
      </c>
      <c r="K329">
        <f t="shared" si="37"/>
        <v>0</v>
      </c>
      <c r="L329">
        <v>0</v>
      </c>
      <c r="M329">
        <f t="shared" si="38"/>
        <v>1</v>
      </c>
      <c r="N329">
        <f t="shared" si="39"/>
        <v>0</v>
      </c>
      <c r="O329">
        <f t="shared" si="40"/>
        <v>0</v>
      </c>
      <c r="P329">
        <v>0</v>
      </c>
      <c r="Q329">
        <f t="shared" si="41"/>
        <v>0</v>
      </c>
      <c r="R329">
        <f t="shared" si="42"/>
        <v>0</v>
      </c>
      <c r="S329">
        <v>0</v>
      </c>
      <c r="T329">
        <v>0</v>
      </c>
      <c r="U329">
        <v>0</v>
      </c>
      <c r="V329">
        <v>50</v>
      </c>
    </row>
    <row r="330" spans="1:22" x14ac:dyDescent="0.3">
      <c r="A330" t="s">
        <v>317</v>
      </c>
      <c r="B330" t="s">
        <v>376</v>
      </c>
      <c r="C330">
        <v>29</v>
      </c>
      <c r="D330" t="s">
        <v>56</v>
      </c>
      <c r="E330" t="s">
        <v>34</v>
      </c>
      <c r="F330" t="s">
        <v>65</v>
      </c>
      <c r="G330">
        <f t="shared" si="27"/>
        <v>3</v>
      </c>
      <c r="H330">
        <v>0</v>
      </c>
      <c r="I330">
        <f t="shared" si="36"/>
        <v>0</v>
      </c>
      <c r="J330">
        <v>0</v>
      </c>
      <c r="K330">
        <f t="shared" si="37"/>
        <v>0</v>
      </c>
      <c r="L330">
        <v>0</v>
      </c>
      <c r="M330">
        <f t="shared" si="38"/>
        <v>0</v>
      </c>
      <c r="N330">
        <f t="shared" si="39"/>
        <v>0</v>
      </c>
      <c r="O330">
        <f t="shared" si="40"/>
        <v>0</v>
      </c>
      <c r="P330">
        <v>0</v>
      </c>
      <c r="Q330">
        <f t="shared" si="41"/>
        <v>0</v>
      </c>
      <c r="R330">
        <f t="shared" si="42"/>
        <v>0</v>
      </c>
      <c r="S330">
        <v>0</v>
      </c>
      <c r="T330">
        <v>0</v>
      </c>
      <c r="U330">
        <v>0</v>
      </c>
      <c r="V330">
        <v>50</v>
      </c>
    </row>
    <row r="331" spans="1:22" x14ac:dyDescent="0.3">
      <c r="A331" t="s">
        <v>317</v>
      </c>
      <c r="B331" t="s">
        <v>377</v>
      </c>
      <c r="C331">
        <v>16</v>
      </c>
      <c r="D331" t="s">
        <v>56</v>
      </c>
      <c r="E331" t="s">
        <v>41</v>
      </c>
      <c r="F331" t="s">
        <v>38</v>
      </c>
      <c r="G331">
        <f t="shared" si="27"/>
        <v>2</v>
      </c>
      <c r="H331">
        <v>0</v>
      </c>
      <c r="I331">
        <f t="shared" si="36"/>
        <v>0</v>
      </c>
      <c r="J331">
        <v>0</v>
      </c>
      <c r="K331">
        <f t="shared" si="37"/>
        <v>0</v>
      </c>
      <c r="L331">
        <v>0</v>
      </c>
      <c r="M331">
        <f t="shared" si="38"/>
        <v>0</v>
      </c>
      <c r="N331">
        <f t="shared" si="39"/>
        <v>0</v>
      </c>
      <c r="O331">
        <f t="shared" si="40"/>
        <v>0</v>
      </c>
      <c r="P331">
        <v>0</v>
      </c>
      <c r="Q331">
        <f t="shared" si="41"/>
        <v>0</v>
      </c>
      <c r="R331">
        <f t="shared" si="42"/>
        <v>0</v>
      </c>
      <c r="S331">
        <v>0</v>
      </c>
      <c r="T331">
        <v>0</v>
      </c>
      <c r="U331">
        <v>0</v>
      </c>
      <c r="V331">
        <v>50</v>
      </c>
    </row>
    <row r="332" spans="1:22" x14ac:dyDescent="0.3">
      <c r="A332" t="s">
        <v>317</v>
      </c>
      <c r="B332" t="s">
        <v>378</v>
      </c>
      <c r="C332">
        <v>38</v>
      </c>
      <c r="D332" t="s">
        <v>30</v>
      </c>
      <c r="E332" t="s">
        <v>31</v>
      </c>
      <c r="F332" t="s">
        <v>65</v>
      </c>
      <c r="G332">
        <f t="shared" si="27"/>
        <v>3</v>
      </c>
      <c r="H332">
        <v>0</v>
      </c>
      <c r="I332">
        <f t="shared" si="36"/>
        <v>0</v>
      </c>
      <c r="J332">
        <v>0</v>
      </c>
      <c r="K332">
        <f t="shared" si="37"/>
        <v>0</v>
      </c>
      <c r="L332">
        <v>0</v>
      </c>
      <c r="M332">
        <f t="shared" si="38"/>
        <v>1</v>
      </c>
      <c r="N332">
        <f t="shared" si="39"/>
        <v>0</v>
      </c>
      <c r="O332">
        <f t="shared" si="40"/>
        <v>0</v>
      </c>
      <c r="P332">
        <v>0</v>
      </c>
      <c r="Q332">
        <f t="shared" si="41"/>
        <v>0</v>
      </c>
      <c r="R332">
        <f t="shared" si="42"/>
        <v>0</v>
      </c>
      <c r="S332">
        <v>0</v>
      </c>
      <c r="T332">
        <v>0</v>
      </c>
      <c r="U332">
        <v>0</v>
      </c>
      <c r="V332">
        <v>50</v>
      </c>
    </row>
    <row r="333" spans="1:22" x14ac:dyDescent="0.3">
      <c r="A333" t="s">
        <v>317</v>
      </c>
      <c r="B333" t="s">
        <v>379</v>
      </c>
      <c r="C333">
        <v>20</v>
      </c>
      <c r="D333" t="s">
        <v>56</v>
      </c>
      <c r="E333" t="s">
        <v>34</v>
      </c>
      <c r="F333" t="s">
        <v>38</v>
      </c>
      <c r="G333">
        <f t="shared" si="27"/>
        <v>2</v>
      </c>
      <c r="H333">
        <v>0</v>
      </c>
      <c r="I333">
        <f t="shared" si="36"/>
        <v>0</v>
      </c>
      <c r="J333">
        <v>0</v>
      </c>
      <c r="K333">
        <f t="shared" si="37"/>
        <v>0</v>
      </c>
      <c r="L333">
        <v>0</v>
      </c>
      <c r="M333">
        <f t="shared" si="38"/>
        <v>0</v>
      </c>
      <c r="N333">
        <f t="shared" si="39"/>
        <v>0</v>
      </c>
      <c r="O333">
        <f t="shared" si="40"/>
        <v>0</v>
      </c>
      <c r="P333">
        <v>0</v>
      </c>
      <c r="Q333">
        <f t="shared" si="41"/>
        <v>0</v>
      </c>
      <c r="R333">
        <f t="shared" si="42"/>
        <v>0</v>
      </c>
      <c r="S333">
        <v>0</v>
      </c>
      <c r="T333">
        <v>0</v>
      </c>
      <c r="U333">
        <v>0</v>
      </c>
      <c r="V333">
        <v>50</v>
      </c>
    </row>
    <row r="334" spans="1:22" x14ac:dyDescent="0.3">
      <c r="A334" t="s">
        <v>317</v>
      </c>
      <c r="B334" t="s">
        <v>380</v>
      </c>
      <c r="C334">
        <v>10</v>
      </c>
      <c r="D334" t="s">
        <v>73</v>
      </c>
      <c r="E334" t="s">
        <v>34</v>
      </c>
      <c r="F334" t="s">
        <v>60</v>
      </c>
      <c r="G334">
        <f t="shared" si="27"/>
        <v>1</v>
      </c>
      <c r="H334">
        <v>0</v>
      </c>
      <c r="I334">
        <f t="shared" si="36"/>
        <v>1</v>
      </c>
      <c r="J334">
        <v>0</v>
      </c>
      <c r="K334">
        <f t="shared" si="37"/>
        <v>0</v>
      </c>
      <c r="L334">
        <v>0</v>
      </c>
      <c r="M334">
        <f t="shared" si="38"/>
        <v>0</v>
      </c>
      <c r="N334">
        <f t="shared" si="39"/>
        <v>0</v>
      </c>
      <c r="O334">
        <f t="shared" si="40"/>
        <v>0</v>
      </c>
      <c r="P334">
        <v>0</v>
      </c>
      <c r="Q334">
        <f t="shared" si="41"/>
        <v>0</v>
      </c>
      <c r="R334">
        <f t="shared" si="42"/>
        <v>0</v>
      </c>
      <c r="S334">
        <v>0</v>
      </c>
      <c r="T334">
        <v>0</v>
      </c>
      <c r="U334">
        <v>0</v>
      </c>
      <c r="V334">
        <v>50</v>
      </c>
    </row>
    <row r="335" spans="1:22" x14ac:dyDescent="0.3">
      <c r="A335" t="s">
        <v>317</v>
      </c>
      <c r="B335" t="s">
        <v>381</v>
      </c>
      <c r="C335">
        <v>8</v>
      </c>
      <c r="D335" t="s">
        <v>313</v>
      </c>
      <c r="E335" t="s">
        <v>31</v>
      </c>
      <c r="F335" t="s">
        <v>60</v>
      </c>
      <c r="G335">
        <f t="shared" si="27"/>
        <v>1</v>
      </c>
      <c r="H335">
        <v>0</v>
      </c>
      <c r="I335">
        <f t="shared" si="36"/>
        <v>0</v>
      </c>
      <c r="J335">
        <v>0</v>
      </c>
      <c r="K335">
        <f t="shared" si="37"/>
        <v>0</v>
      </c>
      <c r="L335">
        <v>0</v>
      </c>
      <c r="M335">
        <f t="shared" si="38"/>
        <v>0</v>
      </c>
      <c r="N335">
        <f t="shared" si="39"/>
        <v>0</v>
      </c>
      <c r="O335">
        <f t="shared" si="40"/>
        <v>0</v>
      </c>
      <c r="P335">
        <v>0</v>
      </c>
      <c r="Q335">
        <f t="shared" si="41"/>
        <v>0</v>
      </c>
      <c r="R335">
        <f t="shared" si="42"/>
        <v>0</v>
      </c>
      <c r="S335">
        <v>0</v>
      </c>
      <c r="T335">
        <v>0</v>
      </c>
      <c r="U335">
        <v>0</v>
      </c>
      <c r="V335">
        <v>50</v>
      </c>
    </row>
    <row r="336" spans="1:22" x14ac:dyDescent="0.3">
      <c r="A336" t="s">
        <v>317</v>
      </c>
      <c r="B336" t="s">
        <v>382</v>
      </c>
      <c r="C336">
        <v>9</v>
      </c>
      <c r="D336" t="s">
        <v>316</v>
      </c>
      <c r="E336" t="s">
        <v>25</v>
      </c>
      <c r="F336" t="s">
        <v>60</v>
      </c>
      <c r="G336">
        <f t="shared" si="27"/>
        <v>1</v>
      </c>
      <c r="H336">
        <v>198</v>
      </c>
      <c r="I336">
        <f t="shared" si="36"/>
        <v>0</v>
      </c>
      <c r="J336">
        <v>0</v>
      </c>
      <c r="K336">
        <f t="shared" si="37"/>
        <v>0</v>
      </c>
      <c r="L336">
        <v>0</v>
      </c>
      <c r="M336">
        <f t="shared" si="38"/>
        <v>0</v>
      </c>
      <c r="N336">
        <f t="shared" si="39"/>
        <v>0</v>
      </c>
      <c r="O336">
        <f t="shared" si="40"/>
        <v>0</v>
      </c>
      <c r="P336">
        <v>0</v>
      </c>
      <c r="Q336">
        <f t="shared" si="41"/>
        <v>0</v>
      </c>
      <c r="R336">
        <f t="shared" si="42"/>
        <v>0</v>
      </c>
      <c r="S336">
        <v>0</v>
      </c>
      <c r="T336">
        <v>0</v>
      </c>
      <c r="U336">
        <v>0</v>
      </c>
      <c r="V336">
        <v>50</v>
      </c>
    </row>
    <row r="337" spans="1:22" x14ac:dyDescent="0.3">
      <c r="A337" t="s">
        <v>317</v>
      </c>
      <c r="B337" t="s">
        <v>383</v>
      </c>
      <c r="C337">
        <v>9</v>
      </c>
      <c r="D337" t="s">
        <v>316</v>
      </c>
      <c r="E337" t="s">
        <v>31</v>
      </c>
      <c r="F337" t="s">
        <v>60</v>
      </c>
      <c r="G337">
        <f t="shared" si="27"/>
        <v>1</v>
      </c>
      <c r="H337">
        <v>0</v>
      </c>
      <c r="I337">
        <f t="shared" ref="I337" si="43">IF(OR(D337="QB", D337="RB", D337="WR", D337="TE", D337="OL", D337="LB"), 1, 0)</f>
        <v>0</v>
      </c>
      <c r="J337">
        <v>0</v>
      </c>
      <c r="K337">
        <f t="shared" ref="K337" si="44">IF(OR(D337="QB", D337="WR", D337="TE"), 1, 0)</f>
        <v>0</v>
      </c>
      <c r="L337">
        <v>0</v>
      </c>
      <c r="M337">
        <f t="shared" ref="M337" si="45">IF(OR(D337="CB", D337="S"), 1, 0)</f>
        <v>0</v>
      </c>
      <c r="N337">
        <f t="shared" ref="N337" si="46">IF(AND(OR(D337="QB", D337="RB", D337="WR", D337="TE", D337="OL"), OR(E337="FR", E337="SO", E337="FR (RS)", E337="SO (RS)")), 1, 0)</f>
        <v>0</v>
      </c>
      <c r="O337">
        <f t="shared" ref="O337" si="47">IF(AND(OR(D337="QB", D337="RB", D337="WR", D337="TE", D337="OL"), H337&gt;600), 1, 0)</f>
        <v>0</v>
      </c>
      <c r="P337">
        <v>0</v>
      </c>
      <c r="Q337">
        <f t="shared" ref="Q337" si="48">IF(AND(OR(D337="QB", D337="WR", D337="TE"), OR(E337="FR", E337="SO", E337="FR (RS)", E337="SO (RS)")), 1, 0)</f>
        <v>0</v>
      </c>
      <c r="R337">
        <f t="shared" ref="R337" si="49">IF(AND(OR(D337="WR", D337="TE"), H337&gt;300), 1, 0)</f>
        <v>0</v>
      </c>
      <c r="S337">
        <v>0</v>
      </c>
      <c r="T337">
        <v>0</v>
      </c>
      <c r="U337">
        <v>0</v>
      </c>
      <c r="V337">
        <v>50</v>
      </c>
    </row>
    <row r="338" spans="1:22" x14ac:dyDescent="0.3">
      <c r="A338" t="s">
        <v>384</v>
      </c>
      <c r="B338" t="s">
        <v>385</v>
      </c>
      <c r="C338">
        <v>6</v>
      </c>
      <c r="D338" t="s">
        <v>36</v>
      </c>
      <c r="E338" t="s">
        <v>31</v>
      </c>
      <c r="F338" t="s">
        <v>38</v>
      </c>
      <c r="G338">
        <f t="shared" si="27"/>
        <v>2</v>
      </c>
      <c r="H338">
        <v>780</v>
      </c>
      <c r="I338">
        <f>IF(OR(D338="WR", D338="TE"), 1, 0)</f>
        <v>0</v>
      </c>
      <c r="J338">
        <f>IF(OR(D338="QB", D338="RB", D338="WR", D338="TE", D338="OL"), 1, 0)</f>
        <v>1</v>
      </c>
      <c r="K338">
        <f>IF(OR(D338="QB", D338="WR", D338="TE"), 1, 0)</f>
        <v>1</v>
      </c>
      <c r="L338">
        <v>0</v>
      </c>
      <c r="M338">
        <f>IF(D338="RB", 1, 0)</f>
        <v>0</v>
      </c>
      <c r="N338">
        <f>IF(AND(OR(D338="QB", D338="WR", D338="TE"), OR(E338="FR", E338="FR (RS)", E338="SO", E338="SO (RS)")), 1, 0)</f>
        <v>1</v>
      </c>
      <c r="O338">
        <f>IF(AND(OR(D338="QB", D338="WR", D338="TE"), H338&gt;=300), 1, 0)</f>
        <v>1</v>
      </c>
      <c r="P338">
        <v>0</v>
      </c>
      <c r="Q338">
        <f>IF(AND(OR(D338="QB", D338="WR", D338="TE"), OR(E338="FR", E338="FR (RS)", E338="SO", E338="SO (RS)")), 1, 0)</f>
        <v>1</v>
      </c>
      <c r="R338">
        <f>IF(AND(OR(D338="WR", D338="TE"), H338&gt;=300), 1, 0)</f>
        <v>0</v>
      </c>
      <c r="S338">
        <v>0</v>
      </c>
      <c r="T338">
        <v>0</v>
      </c>
      <c r="U338">
        <v>0</v>
      </c>
      <c r="V338">
        <v>90</v>
      </c>
    </row>
    <row r="339" spans="1:22" x14ac:dyDescent="0.3">
      <c r="A339" t="s">
        <v>384</v>
      </c>
      <c r="B339" t="s">
        <v>386</v>
      </c>
      <c r="C339">
        <v>5</v>
      </c>
      <c r="D339" t="s">
        <v>36</v>
      </c>
      <c r="E339" t="s">
        <v>34</v>
      </c>
      <c r="F339" t="s">
        <v>38</v>
      </c>
      <c r="G339">
        <f t="shared" si="27"/>
        <v>2</v>
      </c>
      <c r="H339">
        <v>0</v>
      </c>
      <c r="I339">
        <f t="shared" ref="I339:I400" si="50">IF(OR(D339="WR", D339="TE"), 1, 0)</f>
        <v>0</v>
      </c>
      <c r="J339">
        <f t="shared" ref="J339:J400" si="51">IF(OR(D339="QB", D339="RB", D339="WR", D339="TE", D339="OL"), 1, 0)</f>
        <v>1</v>
      </c>
      <c r="K339">
        <f t="shared" ref="K339:K400" si="52">IF(OR(D339="QB", D339="WR", D339="TE"), 1, 0)</f>
        <v>1</v>
      </c>
      <c r="L339">
        <v>0</v>
      </c>
      <c r="M339">
        <f t="shared" ref="M339:M400" si="53">IF(D339="RB", 1, 0)</f>
        <v>0</v>
      </c>
      <c r="N339">
        <f t="shared" ref="N339:N400" si="54">IF(AND(OR(D339="QB", D339="WR", D339="TE"), OR(E339="FR", E339="FR (RS)", E339="SO", E339="SO (RS)")), 1, 0)</f>
        <v>1</v>
      </c>
      <c r="O339">
        <f t="shared" ref="O339:O400" si="55">IF(AND(OR(D339="QB", D339="WR", D339="TE"), H339&gt;=300), 1, 0)</f>
        <v>0</v>
      </c>
      <c r="P339">
        <v>0</v>
      </c>
      <c r="Q339">
        <f t="shared" ref="Q339:Q400" si="56">IF(AND(OR(D339="QB", D339="WR", D339="TE"), OR(E339="FR", E339="FR (RS)", E339="SO", E339="SO (RS)")), 1, 0)</f>
        <v>1</v>
      </c>
      <c r="R339">
        <f t="shared" ref="R339:R400" si="57">IF(AND(OR(D339="WR", D339="TE"), H339&gt;=300), 1, 0)</f>
        <v>0</v>
      </c>
      <c r="S339">
        <v>0</v>
      </c>
      <c r="T339">
        <v>0</v>
      </c>
      <c r="U339">
        <v>0</v>
      </c>
      <c r="V339">
        <v>90</v>
      </c>
    </row>
    <row r="340" spans="1:22" x14ac:dyDescent="0.3">
      <c r="A340" t="s">
        <v>384</v>
      </c>
      <c r="B340" t="s">
        <v>387</v>
      </c>
      <c r="C340">
        <v>2</v>
      </c>
      <c r="D340" t="s">
        <v>36</v>
      </c>
      <c r="E340" t="s">
        <v>37</v>
      </c>
      <c r="F340" t="s">
        <v>60</v>
      </c>
      <c r="G340">
        <f t="shared" si="27"/>
        <v>1</v>
      </c>
      <c r="H340">
        <v>0</v>
      </c>
      <c r="I340">
        <f t="shared" si="50"/>
        <v>0</v>
      </c>
      <c r="J340">
        <f t="shared" si="51"/>
        <v>1</v>
      </c>
      <c r="K340">
        <f t="shared" si="52"/>
        <v>1</v>
      </c>
      <c r="L340">
        <v>0</v>
      </c>
      <c r="M340">
        <f t="shared" si="53"/>
        <v>0</v>
      </c>
      <c r="N340">
        <f t="shared" si="54"/>
        <v>0</v>
      </c>
      <c r="O340">
        <f t="shared" si="55"/>
        <v>0</v>
      </c>
      <c r="P340">
        <v>0</v>
      </c>
      <c r="Q340">
        <f t="shared" si="56"/>
        <v>0</v>
      </c>
      <c r="R340">
        <f t="shared" si="57"/>
        <v>0</v>
      </c>
      <c r="S340">
        <v>0</v>
      </c>
      <c r="T340">
        <v>0</v>
      </c>
      <c r="U340">
        <v>0</v>
      </c>
      <c r="V340">
        <v>90</v>
      </c>
    </row>
    <row r="341" spans="1:22" x14ac:dyDescent="0.3">
      <c r="A341" t="s">
        <v>384</v>
      </c>
      <c r="B341" t="s">
        <v>388</v>
      </c>
      <c r="C341">
        <v>2</v>
      </c>
      <c r="D341" t="s">
        <v>36</v>
      </c>
      <c r="E341" t="s">
        <v>41</v>
      </c>
      <c r="F341" t="s">
        <v>60</v>
      </c>
      <c r="G341">
        <f t="shared" si="27"/>
        <v>1</v>
      </c>
      <c r="H341">
        <v>0</v>
      </c>
      <c r="I341">
        <f t="shared" si="50"/>
        <v>0</v>
      </c>
      <c r="J341">
        <f t="shared" si="51"/>
        <v>1</v>
      </c>
      <c r="K341">
        <f t="shared" si="52"/>
        <v>1</v>
      </c>
      <c r="L341">
        <v>0</v>
      </c>
      <c r="M341">
        <f t="shared" si="53"/>
        <v>0</v>
      </c>
      <c r="N341">
        <f t="shared" si="54"/>
        <v>1</v>
      </c>
      <c r="O341">
        <f t="shared" si="55"/>
        <v>0</v>
      </c>
      <c r="P341">
        <v>0</v>
      </c>
      <c r="Q341">
        <f t="shared" si="56"/>
        <v>1</v>
      </c>
      <c r="R341">
        <f t="shared" si="57"/>
        <v>0</v>
      </c>
      <c r="S341">
        <v>0</v>
      </c>
      <c r="T341">
        <v>0</v>
      </c>
      <c r="U341">
        <v>0</v>
      </c>
      <c r="V341">
        <v>90</v>
      </c>
    </row>
    <row r="342" spans="1:22" x14ac:dyDescent="0.3">
      <c r="A342" t="s">
        <v>384</v>
      </c>
      <c r="B342" t="s">
        <v>389</v>
      </c>
      <c r="C342">
        <v>4</v>
      </c>
      <c r="D342" t="s">
        <v>36</v>
      </c>
      <c r="E342" t="s">
        <v>41</v>
      </c>
      <c r="F342" t="s">
        <v>38</v>
      </c>
      <c r="G342">
        <f t="shared" si="27"/>
        <v>2</v>
      </c>
      <c r="H342">
        <v>0</v>
      </c>
      <c r="I342">
        <f t="shared" si="50"/>
        <v>0</v>
      </c>
      <c r="J342">
        <f t="shared" si="51"/>
        <v>1</v>
      </c>
      <c r="K342">
        <f t="shared" si="52"/>
        <v>1</v>
      </c>
      <c r="L342">
        <v>0</v>
      </c>
      <c r="M342">
        <f t="shared" si="53"/>
        <v>0</v>
      </c>
      <c r="N342">
        <f t="shared" si="54"/>
        <v>1</v>
      </c>
      <c r="O342">
        <f t="shared" si="55"/>
        <v>0</v>
      </c>
      <c r="P342">
        <v>0</v>
      </c>
      <c r="Q342">
        <f t="shared" si="56"/>
        <v>1</v>
      </c>
      <c r="R342">
        <f t="shared" si="57"/>
        <v>0</v>
      </c>
      <c r="S342">
        <v>0</v>
      </c>
      <c r="T342">
        <v>0</v>
      </c>
      <c r="U342">
        <v>0</v>
      </c>
      <c r="V342">
        <v>90</v>
      </c>
    </row>
    <row r="343" spans="1:22" x14ac:dyDescent="0.3">
      <c r="A343" t="s">
        <v>384</v>
      </c>
      <c r="B343" t="s">
        <v>390</v>
      </c>
      <c r="C343">
        <v>2</v>
      </c>
      <c r="D343" t="s">
        <v>24</v>
      </c>
      <c r="E343" t="s">
        <v>37</v>
      </c>
      <c r="F343" t="s">
        <v>60</v>
      </c>
      <c r="G343">
        <f t="shared" si="27"/>
        <v>1</v>
      </c>
      <c r="H343">
        <v>140</v>
      </c>
      <c r="I343">
        <f t="shared" si="50"/>
        <v>0</v>
      </c>
      <c r="J343">
        <f t="shared" si="51"/>
        <v>1</v>
      </c>
      <c r="K343">
        <f t="shared" si="52"/>
        <v>0</v>
      </c>
      <c r="L343">
        <v>0</v>
      </c>
      <c r="M343">
        <f t="shared" si="53"/>
        <v>1</v>
      </c>
      <c r="N343">
        <f t="shared" si="54"/>
        <v>0</v>
      </c>
      <c r="O343">
        <f t="shared" si="55"/>
        <v>0</v>
      </c>
      <c r="P343">
        <v>0</v>
      </c>
      <c r="Q343">
        <f t="shared" si="56"/>
        <v>0</v>
      </c>
      <c r="R343">
        <f t="shared" si="57"/>
        <v>0</v>
      </c>
      <c r="S343">
        <v>0</v>
      </c>
      <c r="T343">
        <v>0</v>
      </c>
      <c r="U343">
        <v>0</v>
      </c>
      <c r="V343">
        <v>90</v>
      </c>
    </row>
    <row r="344" spans="1:22" x14ac:dyDescent="0.3">
      <c r="A344" t="s">
        <v>384</v>
      </c>
      <c r="B344" t="s">
        <v>391</v>
      </c>
      <c r="C344">
        <v>2</v>
      </c>
      <c r="D344" t="s">
        <v>24</v>
      </c>
      <c r="E344" t="s">
        <v>31</v>
      </c>
      <c r="F344" t="s">
        <v>60</v>
      </c>
      <c r="G344">
        <f t="shared" si="27"/>
        <v>1</v>
      </c>
      <c r="H344">
        <f ca="1">-H344</f>
        <v>0</v>
      </c>
      <c r="I344">
        <f t="shared" si="50"/>
        <v>0</v>
      </c>
      <c r="J344">
        <f t="shared" si="51"/>
        <v>1</v>
      </c>
      <c r="K344">
        <f t="shared" si="52"/>
        <v>0</v>
      </c>
      <c r="L344">
        <v>0</v>
      </c>
      <c r="M344">
        <f t="shared" si="53"/>
        <v>1</v>
      </c>
      <c r="N344">
        <f t="shared" si="54"/>
        <v>0</v>
      </c>
      <c r="O344">
        <f t="shared" ca="1" si="55"/>
        <v>1</v>
      </c>
      <c r="P344">
        <v>0</v>
      </c>
      <c r="Q344">
        <f t="shared" si="56"/>
        <v>0</v>
      </c>
      <c r="R344">
        <f t="shared" ca="1" si="57"/>
        <v>0</v>
      </c>
      <c r="S344">
        <v>0</v>
      </c>
      <c r="T344">
        <v>0</v>
      </c>
      <c r="U344">
        <v>0</v>
      </c>
      <c r="V344">
        <v>90</v>
      </c>
    </row>
    <row r="345" spans="1:22" x14ac:dyDescent="0.3">
      <c r="A345" t="s">
        <v>384</v>
      </c>
      <c r="B345" t="s">
        <v>392</v>
      </c>
      <c r="C345">
        <v>7</v>
      </c>
      <c r="D345" t="s">
        <v>43</v>
      </c>
      <c r="E345" t="s">
        <v>41</v>
      </c>
      <c r="F345" t="s">
        <v>65</v>
      </c>
      <c r="G345">
        <f t="shared" si="27"/>
        <v>3</v>
      </c>
      <c r="H345">
        <v>774</v>
      </c>
      <c r="I345">
        <f t="shared" si="50"/>
        <v>1</v>
      </c>
      <c r="J345">
        <f t="shared" si="51"/>
        <v>1</v>
      </c>
      <c r="K345">
        <f t="shared" si="52"/>
        <v>1</v>
      </c>
      <c r="L345">
        <v>0</v>
      </c>
      <c r="M345">
        <f t="shared" si="53"/>
        <v>0</v>
      </c>
      <c r="N345">
        <f t="shared" si="54"/>
        <v>1</v>
      </c>
      <c r="O345">
        <f t="shared" si="55"/>
        <v>1</v>
      </c>
      <c r="P345">
        <v>0</v>
      </c>
      <c r="Q345">
        <f t="shared" si="56"/>
        <v>1</v>
      </c>
      <c r="R345">
        <f t="shared" si="57"/>
        <v>1</v>
      </c>
      <c r="S345">
        <v>0</v>
      </c>
      <c r="T345">
        <v>0</v>
      </c>
      <c r="U345">
        <v>0</v>
      </c>
      <c r="V345">
        <v>90</v>
      </c>
    </row>
    <row r="346" spans="1:22" x14ac:dyDescent="0.3">
      <c r="A346" t="s">
        <v>384</v>
      </c>
      <c r="B346" t="s">
        <v>393</v>
      </c>
      <c r="C346">
        <v>6</v>
      </c>
      <c r="D346" t="s">
        <v>43</v>
      </c>
      <c r="E346" t="s">
        <v>31</v>
      </c>
      <c r="F346" t="s">
        <v>38</v>
      </c>
      <c r="G346">
        <f t="shared" si="27"/>
        <v>2</v>
      </c>
      <c r="H346">
        <v>0</v>
      </c>
      <c r="I346">
        <f t="shared" si="50"/>
        <v>1</v>
      </c>
      <c r="J346">
        <f t="shared" si="51"/>
        <v>1</v>
      </c>
      <c r="K346">
        <f t="shared" si="52"/>
        <v>1</v>
      </c>
      <c r="L346">
        <v>0</v>
      </c>
      <c r="M346">
        <f t="shared" si="53"/>
        <v>0</v>
      </c>
      <c r="N346">
        <f t="shared" si="54"/>
        <v>1</v>
      </c>
      <c r="O346">
        <f t="shared" si="55"/>
        <v>0</v>
      </c>
      <c r="P346">
        <v>0</v>
      </c>
      <c r="Q346">
        <f t="shared" si="56"/>
        <v>1</v>
      </c>
      <c r="R346">
        <f t="shared" si="57"/>
        <v>0</v>
      </c>
      <c r="S346">
        <v>0</v>
      </c>
      <c r="T346">
        <v>0</v>
      </c>
      <c r="U346">
        <v>0</v>
      </c>
      <c r="V346">
        <v>90</v>
      </c>
    </row>
    <row r="347" spans="1:22" x14ac:dyDescent="0.3">
      <c r="A347" t="s">
        <v>384</v>
      </c>
      <c r="B347" t="s">
        <v>394</v>
      </c>
      <c r="C347">
        <v>3</v>
      </c>
      <c r="D347" t="s">
        <v>43</v>
      </c>
      <c r="E347" t="s">
        <v>41</v>
      </c>
      <c r="F347" t="s">
        <v>60</v>
      </c>
      <c r="G347">
        <f t="shared" si="27"/>
        <v>1</v>
      </c>
      <c r="H347">
        <v>74</v>
      </c>
      <c r="I347">
        <f t="shared" si="50"/>
        <v>1</v>
      </c>
      <c r="J347">
        <f t="shared" si="51"/>
        <v>1</v>
      </c>
      <c r="K347">
        <f t="shared" si="52"/>
        <v>1</v>
      </c>
      <c r="L347">
        <v>0</v>
      </c>
      <c r="M347">
        <f t="shared" si="53"/>
        <v>0</v>
      </c>
      <c r="N347">
        <f t="shared" si="54"/>
        <v>1</v>
      </c>
      <c r="O347">
        <f t="shared" si="55"/>
        <v>0</v>
      </c>
      <c r="P347">
        <v>0</v>
      </c>
      <c r="Q347">
        <f t="shared" si="56"/>
        <v>1</v>
      </c>
      <c r="R347">
        <f t="shared" si="57"/>
        <v>0</v>
      </c>
      <c r="S347">
        <v>0</v>
      </c>
      <c r="T347">
        <v>0</v>
      </c>
      <c r="U347">
        <v>0</v>
      </c>
      <c r="V347">
        <v>90</v>
      </c>
    </row>
    <row r="348" spans="1:22" x14ac:dyDescent="0.3">
      <c r="A348" t="s">
        <v>384</v>
      </c>
      <c r="B348" t="s">
        <v>395</v>
      </c>
      <c r="C348">
        <v>4</v>
      </c>
      <c r="D348" t="s">
        <v>24</v>
      </c>
      <c r="E348" t="s">
        <v>31</v>
      </c>
      <c r="F348" t="s">
        <v>38</v>
      </c>
      <c r="G348">
        <f t="shared" si="27"/>
        <v>2</v>
      </c>
      <c r="H348">
        <v>0</v>
      </c>
      <c r="I348">
        <f t="shared" si="50"/>
        <v>0</v>
      </c>
      <c r="J348">
        <f t="shared" si="51"/>
        <v>1</v>
      </c>
      <c r="K348">
        <f t="shared" si="52"/>
        <v>0</v>
      </c>
      <c r="L348">
        <v>0</v>
      </c>
      <c r="M348">
        <f t="shared" si="53"/>
        <v>1</v>
      </c>
      <c r="N348">
        <f t="shared" si="54"/>
        <v>0</v>
      </c>
      <c r="O348">
        <f t="shared" si="55"/>
        <v>0</v>
      </c>
      <c r="P348">
        <v>0</v>
      </c>
      <c r="Q348">
        <f t="shared" si="56"/>
        <v>0</v>
      </c>
      <c r="R348">
        <f t="shared" si="57"/>
        <v>0</v>
      </c>
      <c r="S348">
        <v>0</v>
      </c>
      <c r="T348">
        <v>0</v>
      </c>
      <c r="U348">
        <v>0</v>
      </c>
      <c r="V348">
        <v>90</v>
      </c>
    </row>
    <row r="349" spans="1:22" x14ac:dyDescent="0.3">
      <c r="A349" t="s">
        <v>384</v>
      </c>
      <c r="B349" t="s">
        <v>396</v>
      </c>
      <c r="C349">
        <v>4</v>
      </c>
      <c r="D349" t="s">
        <v>40</v>
      </c>
      <c r="E349" t="s">
        <v>31</v>
      </c>
      <c r="F349" t="s">
        <v>38</v>
      </c>
      <c r="G349">
        <f t="shared" si="27"/>
        <v>2</v>
      </c>
      <c r="H349">
        <v>0</v>
      </c>
      <c r="I349">
        <f t="shared" si="50"/>
        <v>1</v>
      </c>
      <c r="J349">
        <f t="shared" si="51"/>
        <v>1</v>
      </c>
      <c r="K349">
        <f t="shared" si="52"/>
        <v>1</v>
      </c>
      <c r="L349">
        <v>0</v>
      </c>
      <c r="M349">
        <f t="shared" si="53"/>
        <v>0</v>
      </c>
      <c r="N349">
        <f t="shared" si="54"/>
        <v>1</v>
      </c>
      <c r="O349">
        <f t="shared" si="55"/>
        <v>0</v>
      </c>
      <c r="P349">
        <v>0</v>
      </c>
      <c r="Q349">
        <f t="shared" si="56"/>
        <v>1</v>
      </c>
      <c r="R349">
        <f t="shared" si="57"/>
        <v>0</v>
      </c>
      <c r="S349">
        <v>0</v>
      </c>
      <c r="T349">
        <v>0</v>
      </c>
      <c r="U349">
        <v>0</v>
      </c>
      <c r="V349">
        <v>90</v>
      </c>
    </row>
    <row r="350" spans="1:22" x14ac:dyDescent="0.3">
      <c r="A350" t="s">
        <v>384</v>
      </c>
      <c r="B350" t="s">
        <v>397</v>
      </c>
      <c r="C350">
        <v>4</v>
      </c>
      <c r="D350" t="s">
        <v>43</v>
      </c>
      <c r="E350" t="s">
        <v>41</v>
      </c>
      <c r="F350" t="s">
        <v>38</v>
      </c>
      <c r="G350">
        <f t="shared" si="27"/>
        <v>2</v>
      </c>
      <c r="H350">
        <v>0</v>
      </c>
      <c r="I350">
        <f t="shared" si="50"/>
        <v>1</v>
      </c>
      <c r="J350">
        <f t="shared" si="51"/>
        <v>1</v>
      </c>
      <c r="K350">
        <f t="shared" si="52"/>
        <v>1</v>
      </c>
      <c r="L350">
        <v>0</v>
      </c>
      <c r="M350">
        <f t="shared" si="53"/>
        <v>0</v>
      </c>
      <c r="N350">
        <f t="shared" si="54"/>
        <v>1</v>
      </c>
      <c r="O350">
        <f t="shared" si="55"/>
        <v>0</v>
      </c>
      <c r="P350">
        <v>0</v>
      </c>
      <c r="Q350">
        <f t="shared" si="56"/>
        <v>1</v>
      </c>
      <c r="R350">
        <f t="shared" si="57"/>
        <v>0</v>
      </c>
      <c r="S350">
        <v>0</v>
      </c>
      <c r="T350">
        <v>0</v>
      </c>
      <c r="U350">
        <v>0</v>
      </c>
      <c r="V350">
        <v>90</v>
      </c>
    </row>
    <row r="351" spans="1:22" x14ac:dyDescent="0.3">
      <c r="A351" t="s">
        <v>384</v>
      </c>
      <c r="B351" t="s">
        <v>398</v>
      </c>
      <c r="C351">
        <v>2</v>
      </c>
      <c r="D351" t="s">
        <v>40</v>
      </c>
      <c r="E351" t="s">
        <v>28</v>
      </c>
      <c r="F351" t="s">
        <v>60</v>
      </c>
      <c r="G351">
        <f t="shared" si="27"/>
        <v>1</v>
      </c>
      <c r="H351">
        <v>173</v>
      </c>
      <c r="I351">
        <f t="shared" si="50"/>
        <v>1</v>
      </c>
      <c r="J351">
        <f t="shared" si="51"/>
        <v>1</v>
      </c>
      <c r="K351">
        <f t="shared" si="52"/>
        <v>1</v>
      </c>
      <c r="L351">
        <v>0</v>
      </c>
      <c r="M351">
        <f t="shared" si="53"/>
        <v>0</v>
      </c>
      <c r="N351">
        <f t="shared" si="54"/>
        <v>1</v>
      </c>
      <c r="O351">
        <f t="shared" si="55"/>
        <v>0</v>
      </c>
      <c r="P351">
        <v>0</v>
      </c>
      <c r="Q351">
        <f t="shared" si="56"/>
        <v>1</v>
      </c>
      <c r="R351">
        <f t="shared" si="57"/>
        <v>0</v>
      </c>
      <c r="S351">
        <v>0</v>
      </c>
      <c r="T351">
        <v>0</v>
      </c>
      <c r="U351">
        <v>0</v>
      </c>
      <c r="V351">
        <v>90</v>
      </c>
    </row>
    <row r="352" spans="1:22" x14ac:dyDescent="0.3">
      <c r="A352" t="s">
        <v>384</v>
      </c>
      <c r="B352" t="s">
        <v>399</v>
      </c>
      <c r="C352">
        <v>2</v>
      </c>
      <c r="D352" t="s">
        <v>43</v>
      </c>
      <c r="E352" t="s">
        <v>37</v>
      </c>
      <c r="F352" t="s">
        <v>60</v>
      </c>
      <c r="G352">
        <f t="shared" si="27"/>
        <v>1</v>
      </c>
      <c r="H352">
        <v>774</v>
      </c>
      <c r="I352">
        <f t="shared" si="50"/>
        <v>1</v>
      </c>
      <c r="J352">
        <f t="shared" si="51"/>
        <v>1</v>
      </c>
      <c r="K352">
        <f t="shared" si="52"/>
        <v>1</v>
      </c>
      <c r="L352">
        <v>0</v>
      </c>
      <c r="M352">
        <f t="shared" si="53"/>
        <v>0</v>
      </c>
      <c r="N352">
        <f t="shared" si="54"/>
        <v>0</v>
      </c>
      <c r="O352">
        <f t="shared" si="55"/>
        <v>1</v>
      </c>
      <c r="P352">
        <v>0</v>
      </c>
      <c r="Q352">
        <f t="shared" si="56"/>
        <v>0</v>
      </c>
      <c r="R352">
        <f t="shared" si="57"/>
        <v>1</v>
      </c>
      <c r="S352">
        <v>0</v>
      </c>
      <c r="T352">
        <v>0</v>
      </c>
      <c r="U352">
        <v>0</v>
      </c>
      <c r="V352">
        <v>90</v>
      </c>
    </row>
    <row r="353" spans="1:22" x14ac:dyDescent="0.3">
      <c r="A353" t="s">
        <v>384</v>
      </c>
      <c r="B353" t="s">
        <v>400</v>
      </c>
      <c r="C353">
        <v>2</v>
      </c>
      <c r="D353" t="s">
        <v>40</v>
      </c>
      <c r="E353" t="s">
        <v>41</v>
      </c>
      <c r="F353" t="s">
        <v>60</v>
      </c>
      <c r="G353">
        <f t="shared" si="27"/>
        <v>1</v>
      </c>
      <c r="H353">
        <v>0</v>
      </c>
      <c r="I353">
        <f t="shared" si="50"/>
        <v>1</v>
      </c>
      <c r="J353">
        <f t="shared" si="51"/>
        <v>1</v>
      </c>
      <c r="K353">
        <f t="shared" si="52"/>
        <v>1</v>
      </c>
      <c r="L353">
        <v>0</v>
      </c>
      <c r="M353">
        <f t="shared" si="53"/>
        <v>0</v>
      </c>
      <c r="N353">
        <f t="shared" si="54"/>
        <v>1</v>
      </c>
      <c r="O353">
        <f t="shared" si="55"/>
        <v>0</v>
      </c>
      <c r="P353">
        <v>0</v>
      </c>
      <c r="Q353">
        <f t="shared" si="56"/>
        <v>1</v>
      </c>
      <c r="R353">
        <f t="shared" si="57"/>
        <v>0</v>
      </c>
      <c r="S353">
        <v>0</v>
      </c>
      <c r="T353">
        <v>0</v>
      </c>
      <c r="U353">
        <v>0</v>
      </c>
      <c r="V353">
        <v>90</v>
      </c>
    </row>
    <row r="354" spans="1:22" x14ac:dyDescent="0.3">
      <c r="A354" t="s">
        <v>384</v>
      </c>
      <c r="B354" t="s">
        <v>401</v>
      </c>
      <c r="C354">
        <v>2</v>
      </c>
      <c r="D354" t="s">
        <v>24</v>
      </c>
      <c r="E354" t="s">
        <v>41</v>
      </c>
      <c r="F354" t="s">
        <v>60</v>
      </c>
      <c r="G354">
        <f t="shared" si="27"/>
        <v>1</v>
      </c>
      <c r="H354">
        <v>132</v>
      </c>
      <c r="I354">
        <f t="shared" si="50"/>
        <v>0</v>
      </c>
      <c r="J354">
        <f t="shared" si="51"/>
        <v>1</v>
      </c>
      <c r="K354">
        <f t="shared" si="52"/>
        <v>0</v>
      </c>
      <c r="L354">
        <v>0</v>
      </c>
      <c r="M354">
        <f t="shared" si="53"/>
        <v>1</v>
      </c>
      <c r="N354">
        <f t="shared" si="54"/>
        <v>0</v>
      </c>
      <c r="O354">
        <f t="shared" si="55"/>
        <v>0</v>
      </c>
      <c r="P354">
        <v>0</v>
      </c>
      <c r="Q354">
        <f t="shared" si="56"/>
        <v>0</v>
      </c>
      <c r="R354">
        <f t="shared" si="57"/>
        <v>0</v>
      </c>
      <c r="S354">
        <v>0</v>
      </c>
      <c r="T354">
        <v>0</v>
      </c>
      <c r="U354">
        <v>0</v>
      </c>
      <c r="V354">
        <v>90</v>
      </c>
    </row>
    <row r="355" spans="1:22" x14ac:dyDescent="0.3">
      <c r="A355" t="s">
        <v>384</v>
      </c>
      <c r="B355" t="s">
        <v>402</v>
      </c>
      <c r="C355">
        <v>2</v>
      </c>
      <c r="D355" t="s">
        <v>46</v>
      </c>
      <c r="E355" t="s">
        <v>37</v>
      </c>
      <c r="F355" t="s">
        <v>60</v>
      </c>
      <c r="G355">
        <f t="shared" si="27"/>
        <v>1</v>
      </c>
      <c r="H355">
        <v>0</v>
      </c>
      <c r="I355">
        <f t="shared" si="50"/>
        <v>0</v>
      </c>
      <c r="J355">
        <f t="shared" si="51"/>
        <v>1</v>
      </c>
      <c r="K355">
        <f t="shared" si="52"/>
        <v>0</v>
      </c>
      <c r="L355">
        <v>0</v>
      </c>
      <c r="M355">
        <f t="shared" si="53"/>
        <v>0</v>
      </c>
      <c r="N355">
        <f t="shared" si="54"/>
        <v>0</v>
      </c>
      <c r="O355">
        <f t="shared" si="55"/>
        <v>0</v>
      </c>
      <c r="P355">
        <v>0</v>
      </c>
      <c r="Q355">
        <f t="shared" si="56"/>
        <v>0</v>
      </c>
      <c r="R355">
        <f t="shared" si="57"/>
        <v>0</v>
      </c>
      <c r="S355">
        <v>0</v>
      </c>
      <c r="T355">
        <v>0</v>
      </c>
      <c r="U355">
        <v>0</v>
      </c>
      <c r="V355">
        <v>90</v>
      </c>
    </row>
    <row r="356" spans="1:22" x14ac:dyDescent="0.3">
      <c r="A356" t="s">
        <v>384</v>
      </c>
      <c r="B356" t="s">
        <v>321</v>
      </c>
      <c r="C356">
        <v>4</v>
      </c>
      <c r="D356" t="s">
        <v>46</v>
      </c>
      <c r="E356" t="s">
        <v>31</v>
      </c>
      <c r="F356" t="s">
        <v>38</v>
      </c>
      <c r="G356">
        <f t="shared" si="27"/>
        <v>2</v>
      </c>
      <c r="H356">
        <v>0</v>
      </c>
      <c r="I356">
        <f t="shared" si="50"/>
        <v>0</v>
      </c>
      <c r="J356">
        <f t="shared" si="51"/>
        <v>1</v>
      </c>
      <c r="K356">
        <f t="shared" si="52"/>
        <v>0</v>
      </c>
      <c r="L356">
        <v>0</v>
      </c>
      <c r="M356">
        <f t="shared" si="53"/>
        <v>0</v>
      </c>
      <c r="N356">
        <f t="shared" si="54"/>
        <v>0</v>
      </c>
      <c r="O356">
        <f t="shared" si="55"/>
        <v>0</v>
      </c>
      <c r="P356">
        <v>0</v>
      </c>
      <c r="Q356">
        <f t="shared" si="56"/>
        <v>0</v>
      </c>
      <c r="R356">
        <f t="shared" si="57"/>
        <v>0</v>
      </c>
      <c r="S356">
        <v>0</v>
      </c>
      <c r="T356">
        <v>0</v>
      </c>
      <c r="U356">
        <v>0</v>
      </c>
      <c r="V356">
        <v>90</v>
      </c>
    </row>
    <row r="357" spans="1:22" x14ac:dyDescent="0.3">
      <c r="A357" t="s">
        <v>384</v>
      </c>
      <c r="B357" t="s">
        <v>403</v>
      </c>
      <c r="C357">
        <v>5</v>
      </c>
      <c r="D357" t="s">
        <v>46</v>
      </c>
      <c r="E357" t="s">
        <v>34</v>
      </c>
      <c r="F357" t="s">
        <v>38</v>
      </c>
      <c r="G357">
        <f t="shared" si="27"/>
        <v>2</v>
      </c>
      <c r="H357">
        <v>0</v>
      </c>
      <c r="I357">
        <f t="shared" si="50"/>
        <v>0</v>
      </c>
      <c r="J357">
        <f t="shared" si="51"/>
        <v>1</v>
      </c>
      <c r="K357">
        <f t="shared" si="52"/>
        <v>0</v>
      </c>
      <c r="L357">
        <v>0</v>
      </c>
      <c r="M357">
        <f t="shared" si="53"/>
        <v>0</v>
      </c>
      <c r="N357">
        <f t="shared" si="54"/>
        <v>0</v>
      </c>
      <c r="O357">
        <f t="shared" si="55"/>
        <v>0</v>
      </c>
      <c r="P357">
        <v>0</v>
      </c>
      <c r="Q357">
        <f t="shared" si="56"/>
        <v>0</v>
      </c>
      <c r="R357">
        <f t="shared" si="57"/>
        <v>0</v>
      </c>
      <c r="S357">
        <v>0</v>
      </c>
      <c r="T357">
        <v>0</v>
      </c>
      <c r="U357">
        <v>0</v>
      </c>
      <c r="V357">
        <v>90</v>
      </c>
    </row>
    <row r="358" spans="1:22" x14ac:dyDescent="0.3">
      <c r="A358" t="s">
        <v>384</v>
      </c>
      <c r="B358" t="s">
        <v>404</v>
      </c>
      <c r="C358">
        <v>4</v>
      </c>
      <c r="D358" t="s">
        <v>46</v>
      </c>
      <c r="E358" t="s">
        <v>31</v>
      </c>
      <c r="F358" t="s">
        <v>38</v>
      </c>
      <c r="G358">
        <f t="shared" si="27"/>
        <v>2</v>
      </c>
      <c r="H358">
        <v>0</v>
      </c>
      <c r="I358">
        <f t="shared" si="50"/>
        <v>0</v>
      </c>
      <c r="J358">
        <f t="shared" si="51"/>
        <v>1</v>
      </c>
      <c r="K358">
        <f t="shared" si="52"/>
        <v>0</v>
      </c>
      <c r="L358">
        <v>0</v>
      </c>
      <c r="M358">
        <f t="shared" si="53"/>
        <v>0</v>
      </c>
      <c r="N358">
        <f t="shared" si="54"/>
        <v>0</v>
      </c>
      <c r="O358">
        <f t="shared" si="55"/>
        <v>0</v>
      </c>
      <c r="P358">
        <v>0</v>
      </c>
      <c r="Q358">
        <f t="shared" si="56"/>
        <v>0</v>
      </c>
      <c r="R358">
        <f t="shared" si="57"/>
        <v>0</v>
      </c>
      <c r="S358">
        <v>0</v>
      </c>
      <c r="T358">
        <v>0</v>
      </c>
      <c r="U358">
        <v>0</v>
      </c>
      <c r="V358">
        <v>90</v>
      </c>
    </row>
    <row r="359" spans="1:22" x14ac:dyDescent="0.3">
      <c r="A359" t="s">
        <v>384</v>
      </c>
      <c r="B359" t="s">
        <v>405</v>
      </c>
      <c r="C359">
        <v>5</v>
      </c>
      <c r="D359" t="s">
        <v>46</v>
      </c>
      <c r="E359" t="s">
        <v>34</v>
      </c>
      <c r="F359" t="s">
        <v>38</v>
      </c>
      <c r="G359">
        <f t="shared" si="27"/>
        <v>2</v>
      </c>
      <c r="H359">
        <v>0</v>
      </c>
      <c r="I359">
        <f t="shared" si="50"/>
        <v>0</v>
      </c>
      <c r="J359">
        <f t="shared" si="51"/>
        <v>1</v>
      </c>
      <c r="K359">
        <f t="shared" si="52"/>
        <v>0</v>
      </c>
      <c r="L359">
        <v>0</v>
      </c>
      <c r="M359">
        <f t="shared" si="53"/>
        <v>0</v>
      </c>
      <c r="N359">
        <f t="shared" si="54"/>
        <v>0</v>
      </c>
      <c r="O359">
        <f t="shared" si="55"/>
        <v>0</v>
      </c>
      <c r="P359">
        <v>0</v>
      </c>
      <c r="Q359">
        <f t="shared" si="56"/>
        <v>0</v>
      </c>
      <c r="R359">
        <f t="shared" si="57"/>
        <v>0</v>
      </c>
      <c r="S359">
        <v>0</v>
      </c>
      <c r="T359">
        <v>0</v>
      </c>
      <c r="U359">
        <v>0</v>
      </c>
      <c r="V359">
        <v>90</v>
      </c>
    </row>
    <row r="360" spans="1:22" x14ac:dyDescent="0.3">
      <c r="A360" t="s">
        <v>384</v>
      </c>
      <c r="B360" t="s">
        <v>406</v>
      </c>
      <c r="C360">
        <v>4</v>
      </c>
      <c r="D360" t="s">
        <v>46</v>
      </c>
      <c r="E360" t="s">
        <v>34</v>
      </c>
      <c r="F360" t="s">
        <v>38</v>
      </c>
      <c r="G360">
        <f t="shared" si="27"/>
        <v>2</v>
      </c>
      <c r="H360">
        <v>0</v>
      </c>
      <c r="I360">
        <f t="shared" si="50"/>
        <v>0</v>
      </c>
      <c r="J360">
        <f t="shared" si="51"/>
        <v>1</v>
      </c>
      <c r="K360">
        <f t="shared" si="52"/>
        <v>0</v>
      </c>
      <c r="L360">
        <v>0</v>
      </c>
      <c r="M360">
        <f t="shared" si="53"/>
        <v>0</v>
      </c>
      <c r="N360">
        <f t="shared" si="54"/>
        <v>0</v>
      </c>
      <c r="O360">
        <f t="shared" si="55"/>
        <v>0</v>
      </c>
      <c r="P360">
        <v>0</v>
      </c>
      <c r="Q360">
        <f t="shared" si="56"/>
        <v>0</v>
      </c>
      <c r="R360">
        <f t="shared" si="57"/>
        <v>0</v>
      </c>
      <c r="S360">
        <v>0</v>
      </c>
      <c r="T360">
        <v>0</v>
      </c>
      <c r="U360">
        <v>0</v>
      </c>
      <c r="V360">
        <v>90</v>
      </c>
    </row>
    <row r="361" spans="1:22" x14ac:dyDescent="0.3">
      <c r="A361" t="s">
        <v>384</v>
      </c>
      <c r="B361" t="s">
        <v>407</v>
      </c>
      <c r="C361">
        <v>5</v>
      </c>
      <c r="D361" t="s">
        <v>46</v>
      </c>
      <c r="E361" t="s">
        <v>34</v>
      </c>
      <c r="F361" t="s">
        <v>38</v>
      </c>
      <c r="G361">
        <f t="shared" si="27"/>
        <v>2</v>
      </c>
      <c r="H361">
        <v>0</v>
      </c>
      <c r="I361">
        <f t="shared" si="50"/>
        <v>0</v>
      </c>
      <c r="J361">
        <f t="shared" si="51"/>
        <v>1</v>
      </c>
      <c r="K361">
        <f t="shared" si="52"/>
        <v>0</v>
      </c>
      <c r="L361">
        <v>0</v>
      </c>
      <c r="M361">
        <f t="shared" si="53"/>
        <v>0</v>
      </c>
      <c r="N361">
        <f t="shared" si="54"/>
        <v>0</v>
      </c>
      <c r="O361">
        <f t="shared" si="55"/>
        <v>0</v>
      </c>
      <c r="P361">
        <v>0</v>
      </c>
      <c r="Q361">
        <f t="shared" si="56"/>
        <v>0</v>
      </c>
      <c r="R361">
        <f t="shared" si="57"/>
        <v>0</v>
      </c>
      <c r="S361">
        <v>0</v>
      </c>
      <c r="T361">
        <v>0</v>
      </c>
      <c r="U361">
        <v>0</v>
      </c>
      <c r="V361">
        <v>90</v>
      </c>
    </row>
    <row r="362" spans="1:22" x14ac:dyDescent="0.3">
      <c r="A362" t="s">
        <v>384</v>
      </c>
      <c r="B362" t="s">
        <v>408</v>
      </c>
      <c r="C362">
        <v>4</v>
      </c>
      <c r="D362" t="s">
        <v>46</v>
      </c>
      <c r="E362" t="s">
        <v>37</v>
      </c>
      <c r="F362" t="s">
        <v>38</v>
      </c>
      <c r="G362">
        <f t="shared" si="27"/>
        <v>2</v>
      </c>
      <c r="H362">
        <v>0</v>
      </c>
      <c r="I362">
        <f t="shared" si="50"/>
        <v>0</v>
      </c>
      <c r="J362">
        <f t="shared" si="51"/>
        <v>1</v>
      </c>
      <c r="K362">
        <f t="shared" si="52"/>
        <v>0</v>
      </c>
      <c r="L362">
        <v>0</v>
      </c>
      <c r="M362">
        <f t="shared" si="53"/>
        <v>0</v>
      </c>
      <c r="N362">
        <f t="shared" si="54"/>
        <v>0</v>
      </c>
      <c r="O362">
        <f t="shared" si="55"/>
        <v>0</v>
      </c>
      <c r="P362">
        <v>0</v>
      </c>
      <c r="Q362">
        <f t="shared" si="56"/>
        <v>0</v>
      </c>
      <c r="R362">
        <f t="shared" si="57"/>
        <v>0</v>
      </c>
      <c r="S362">
        <v>0</v>
      </c>
      <c r="T362">
        <v>0</v>
      </c>
      <c r="U362">
        <v>0</v>
      </c>
      <c r="V362">
        <v>90</v>
      </c>
    </row>
    <row r="363" spans="1:22" x14ac:dyDescent="0.3">
      <c r="A363" t="s">
        <v>384</v>
      </c>
      <c r="B363" t="s">
        <v>409</v>
      </c>
      <c r="C363">
        <v>6</v>
      </c>
      <c r="D363" t="s">
        <v>46</v>
      </c>
      <c r="E363" t="s">
        <v>31</v>
      </c>
      <c r="F363" t="s">
        <v>65</v>
      </c>
      <c r="G363">
        <f t="shared" si="27"/>
        <v>3</v>
      </c>
      <c r="H363">
        <v>0</v>
      </c>
      <c r="I363">
        <f t="shared" si="50"/>
        <v>0</v>
      </c>
      <c r="J363">
        <f t="shared" si="51"/>
        <v>1</v>
      </c>
      <c r="K363">
        <f t="shared" si="52"/>
        <v>0</v>
      </c>
      <c r="L363">
        <v>0</v>
      </c>
      <c r="M363">
        <f t="shared" si="53"/>
        <v>0</v>
      </c>
      <c r="N363">
        <f t="shared" si="54"/>
        <v>0</v>
      </c>
      <c r="O363">
        <f t="shared" si="55"/>
        <v>0</v>
      </c>
      <c r="P363">
        <v>0</v>
      </c>
      <c r="Q363">
        <f t="shared" si="56"/>
        <v>0</v>
      </c>
      <c r="R363">
        <f t="shared" si="57"/>
        <v>0</v>
      </c>
      <c r="S363">
        <v>0</v>
      </c>
      <c r="T363">
        <v>0</v>
      </c>
      <c r="U363">
        <v>0</v>
      </c>
      <c r="V363">
        <v>90</v>
      </c>
    </row>
    <row r="364" spans="1:22" x14ac:dyDescent="0.3">
      <c r="A364" t="s">
        <v>384</v>
      </c>
      <c r="B364" t="s">
        <v>410</v>
      </c>
      <c r="C364">
        <v>2</v>
      </c>
      <c r="D364" t="s">
        <v>46</v>
      </c>
      <c r="E364" t="s">
        <v>41</v>
      </c>
      <c r="F364" t="s">
        <v>60</v>
      </c>
      <c r="G364">
        <f t="shared" si="27"/>
        <v>1</v>
      </c>
      <c r="H364">
        <v>47</v>
      </c>
      <c r="I364">
        <f t="shared" si="50"/>
        <v>0</v>
      </c>
      <c r="J364">
        <f t="shared" si="51"/>
        <v>1</v>
      </c>
      <c r="K364">
        <f t="shared" si="52"/>
        <v>0</v>
      </c>
      <c r="L364">
        <v>0</v>
      </c>
      <c r="M364">
        <f t="shared" si="53"/>
        <v>0</v>
      </c>
      <c r="N364">
        <f t="shared" si="54"/>
        <v>0</v>
      </c>
      <c r="O364">
        <f t="shared" si="55"/>
        <v>0</v>
      </c>
      <c r="P364">
        <v>0</v>
      </c>
      <c r="Q364">
        <f t="shared" si="56"/>
        <v>0</v>
      </c>
      <c r="R364">
        <f t="shared" si="57"/>
        <v>0</v>
      </c>
      <c r="S364">
        <v>0</v>
      </c>
      <c r="T364">
        <v>0</v>
      </c>
      <c r="U364">
        <v>0</v>
      </c>
      <c r="V364">
        <v>90</v>
      </c>
    </row>
    <row r="365" spans="1:22" x14ac:dyDescent="0.3">
      <c r="A365" t="s">
        <v>384</v>
      </c>
      <c r="B365" t="s">
        <v>411</v>
      </c>
      <c r="C365">
        <v>2</v>
      </c>
      <c r="D365" t="s">
        <v>46</v>
      </c>
      <c r="E365" t="s">
        <v>41</v>
      </c>
      <c r="F365" t="s">
        <v>60</v>
      </c>
      <c r="G365">
        <f t="shared" si="27"/>
        <v>1</v>
      </c>
      <c r="H365">
        <v>0</v>
      </c>
      <c r="I365">
        <f t="shared" si="50"/>
        <v>0</v>
      </c>
      <c r="J365">
        <f t="shared" si="51"/>
        <v>1</v>
      </c>
      <c r="K365">
        <f t="shared" si="52"/>
        <v>0</v>
      </c>
      <c r="L365">
        <v>0</v>
      </c>
      <c r="M365">
        <f t="shared" si="53"/>
        <v>0</v>
      </c>
      <c r="N365">
        <f t="shared" si="54"/>
        <v>0</v>
      </c>
      <c r="O365">
        <f t="shared" si="55"/>
        <v>0</v>
      </c>
      <c r="P365">
        <v>0</v>
      </c>
      <c r="Q365">
        <f t="shared" si="56"/>
        <v>0</v>
      </c>
      <c r="R365">
        <f t="shared" si="57"/>
        <v>0</v>
      </c>
      <c r="S365">
        <v>0</v>
      </c>
      <c r="T365">
        <v>0</v>
      </c>
      <c r="U365">
        <v>0</v>
      </c>
      <c r="V365">
        <v>90</v>
      </c>
    </row>
    <row r="366" spans="1:22" x14ac:dyDescent="0.3">
      <c r="A366" t="s">
        <v>384</v>
      </c>
      <c r="B366" t="s">
        <v>412</v>
      </c>
      <c r="C366">
        <v>4</v>
      </c>
      <c r="D366" t="s">
        <v>46</v>
      </c>
      <c r="E366" t="s">
        <v>41</v>
      </c>
      <c r="F366" t="s">
        <v>38</v>
      </c>
      <c r="G366">
        <f t="shared" si="27"/>
        <v>2</v>
      </c>
      <c r="H366">
        <v>47</v>
      </c>
      <c r="I366">
        <f t="shared" si="50"/>
        <v>0</v>
      </c>
      <c r="J366">
        <f t="shared" si="51"/>
        <v>1</v>
      </c>
      <c r="K366">
        <f t="shared" si="52"/>
        <v>0</v>
      </c>
      <c r="L366">
        <v>0</v>
      </c>
      <c r="M366">
        <f t="shared" si="53"/>
        <v>0</v>
      </c>
      <c r="N366">
        <f t="shared" si="54"/>
        <v>0</v>
      </c>
      <c r="O366">
        <f t="shared" si="55"/>
        <v>0</v>
      </c>
      <c r="P366">
        <v>0</v>
      </c>
      <c r="Q366">
        <f t="shared" si="56"/>
        <v>0</v>
      </c>
      <c r="R366">
        <f t="shared" si="57"/>
        <v>0</v>
      </c>
      <c r="S366">
        <v>0</v>
      </c>
      <c r="T366">
        <v>0</v>
      </c>
      <c r="U366">
        <v>0</v>
      </c>
      <c r="V366">
        <v>90</v>
      </c>
    </row>
    <row r="367" spans="1:22" x14ac:dyDescent="0.3">
      <c r="A367" t="s">
        <v>384</v>
      </c>
      <c r="B367" t="s">
        <v>413</v>
      </c>
      <c r="C367">
        <v>4</v>
      </c>
      <c r="D367" t="s">
        <v>46</v>
      </c>
      <c r="E367" t="s">
        <v>25</v>
      </c>
      <c r="F367" t="s">
        <v>38</v>
      </c>
      <c r="G367">
        <f t="shared" si="27"/>
        <v>2</v>
      </c>
      <c r="H367">
        <v>827</v>
      </c>
      <c r="I367">
        <f t="shared" si="50"/>
        <v>0</v>
      </c>
      <c r="J367">
        <f t="shared" si="51"/>
        <v>1</v>
      </c>
      <c r="K367">
        <f t="shared" si="52"/>
        <v>0</v>
      </c>
      <c r="L367">
        <v>0</v>
      </c>
      <c r="M367">
        <f t="shared" si="53"/>
        <v>0</v>
      </c>
      <c r="N367">
        <f t="shared" si="54"/>
        <v>0</v>
      </c>
      <c r="O367">
        <f t="shared" si="55"/>
        <v>0</v>
      </c>
      <c r="P367">
        <v>0</v>
      </c>
      <c r="Q367">
        <f t="shared" si="56"/>
        <v>0</v>
      </c>
      <c r="R367">
        <f t="shared" si="57"/>
        <v>0</v>
      </c>
      <c r="S367">
        <v>0</v>
      </c>
      <c r="T367">
        <v>0</v>
      </c>
      <c r="U367">
        <v>0</v>
      </c>
      <c r="V367">
        <v>90</v>
      </c>
    </row>
    <row r="368" spans="1:22" x14ac:dyDescent="0.3">
      <c r="A368" t="s">
        <v>384</v>
      </c>
      <c r="B368" t="s">
        <v>414</v>
      </c>
      <c r="C368">
        <v>5</v>
      </c>
      <c r="D368" t="s">
        <v>46</v>
      </c>
      <c r="E368" t="s">
        <v>37</v>
      </c>
      <c r="F368" t="s">
        <v>38</v>
      </c>
      <c r="G368">
        <f t="shared" si="27"/>
        <v>2</v>
      </c>
      <c r="H368">
        <v>780</v>
      </c>
      <c r="I368">
        <f t="shared" si="50"/>
        <v>0</v>
      </c>
      <c r="J368">
        <f t="shared" si="51"/>
        <v>1</v>
      </c>
      <c r="K368">
        <f t="shared" si="52"/>
        <v>0</v>
      </c>
      <c r="L368">
        <v>0</v>
      </c>
      <c r="M368">
        <f t="shared" si="53"/>
        <v>0</v>
      </c>
      <c r="N368">
        <f t="shared" si="54"/>
        <v>0</v>
      </c>
      <c r="O368">
        <f t="shared" si="55"/>
        <v>0</v>
      </c>
      <c r="P368">
        <v>0</v>
      </c>
      <c r="Q368">
        <f t="shared" si="56"/>
        <v>0</v>
      </c>
      <c r="R368">
        <f t="shared" si="57"/>
        <v>0</v>
      </c>
      <c r="S368">
        <v>0</v>
      </c>
      <c r="T368">
        <v>0</v>
      </c>
      <c r="U368">
        <v>0</v>
      </c>
      <c r="V368">
        <v>90</v>
      </c>
    </row>
    <row r="369" spans="1:22" x14ac:dyDescent="0.3">
      <c r="A369" t="s">
        <v>384</v>
      </c>
      <c r="B369" t="s">
        <v>415</v>
      </c>
      <c r="C369">
        <v>3</v>
      </c>
      <c r="D369" t="s">
        <v>54</v>
      </c>
      <c r="E369" t="s">
        <v>37</v>
      </c>
      <c r="F369" t="s">
        <v>38</v>
      </c>
      <c r="G369">
        <f t="shared" si="27"/>
        <v>2</v>
      </c>
      <c r="H369">
        <v>740</v>
      </c>
      <c r="I369">
        <f t="shared" si="50"/>
        <v>0</v>
      </c>
      <c r="J369">
        <f t="shared" si="51"/>
        <v>0</v>
      </c>
      <c r="K369">
        <f t="shared" si="52"/>
        <v>0</v>
      </c>
      <c r="L369">
        <v>0</v>
      </c>
      <c r="M369">
        <f t="shared" si="53"/>
        <v>0</v>
      </c>
      <c r="N369">
        <f t="shared" si="54"/>
        <v>0</v>
      </c>
      <c r="O369">
        <f t="shared" si="55"/>
        <v>0</v>
      </c>
      <c r="P369">
        <v>0</v>
      </c>
      <c r="Q369">
        <f t="shared" si="56"/>
        <v>0</v>
      </c>
      <c r="R369">
        <f t="shared" si="57"/>
        <v>0</v>
      </c>
      <c r="S369">
        <v>0</v>
      </c>
      <c r="T369">
        <v>0</v>
      </c>
      <c r="U369">
        <v>0</v>
      </c>
      <c r="V369">
        <v>90</v>
      </c>
    </row>
    <row r="370" spans="1:22" x14ac:dyDescent="0.3">
      <c r="A370" t="s">
        <v>384</v>
      </c>
      <c r="B370" t="s">
        <v>416</v>
      </c>
      <c r="C370">
        <v>5</v>
      </c>
      <c r="D370" t="s">
        <v>54</v>
      </c>
      <c r="E370" t="s">
        <v>28</v>
      </c>
      <c r="F370" t="s">
        <v>65</v>
      </c>
      <c r="G370">
        <f t="shared" si="27"/>
        <v>3</v>
      </c>
      <c r="H370">
        <v>1007</v>
      </c>
      <c r="I370">
        <f t="shared" si="50"/>
        <v>0</v>
      </c>
      <c r="J370">
        <f t="shared" si="51"/>
        <v>0</v>
      </c>
      <c r="K370">
        <f t="shared" si="52"/>
        <v>0</v>
      </c>
      <c r="L370">
        <v>0</v>
      </c>
      <c r="M370">
        <f t="shared" si="53"/>
        <v>0</v>
      </c>
      <c r="N370">
        <f t="shared" si="54"/>
        <v>0</v>
      </c>
      <c r="O370">
        <f t="shared" si="55"/>
        <v>0</v>
      </c>
      <c r="P370">
        <v>0</v>
      </c>
      <c r="Q370">
        <f t="shared" si="56"/>
        <v>0</v>
      </c>
      <c r="R370">
        <f t="shared" si="57"/>
        <v>0</v>
      </c>
      <c r="S370">
        <v>0</v>
      </c>
      <c r="T370">
        <v>0</v>
      </c>
      <c r="U370">
        <v>0</v>
      </c>
      <c r="V370">
        <v>90</v>
      </c>
    </row>
    <row r="371" spans="1:22" x14ac:dyDescent="0.3">
      <c r="A371" t="s">
        <v>384</v>
      </c>
      <c r="B371" t="s">
        <v>417</v>
      </c>
      <c r="C371">
        <v>2</v>
      </c>
      <c r="D371" t="s">
        <v>73</v>
      </c>
      <c r="E371" t="s">
        <v>37</v>
      </c>
      <c r="F371" t="s">
        <v>38</v>
      </c>
      <c r="G371">
        <f t="shared" si="27"/>
        <v>2</v>
      </c>
      <c r="H371">
        <v>896</v>
      </c>
      <c r="I371">
        <f t="shared" si="50"/>
        <v>0</v>
      </c>
      <c r="J371">
        <f t="shared" si="51"/>
        <v>0</v>
      </c>
      <c r="K371">
        <f t="shared" si="52"/>
        <v>0</v>
      </c>
      <c r="L371">
        <v>0</v>
      </c>
      <c r="M371">
        <f t="shared" si="53"/>
        <v>0</v>
      </c>
      <c r="N371">
        <f t="shared" si="54"/>
        <v>0</v>
      </c>
      <c r="O371">
        <f t="shared" si="55"/>
        <v>0</v>
      </c>
      <c r="P371">
        <v>0</v>
      </c>
      <c r="Q371">
        <f t="shared" si="56"/>
        <v>0</v>
      </c>
      <c r="R371">
        <f t="shared" si="57"/>
        <v>0</v>
      </c>
      <c r="S371">
        <v>0</v>
      </c>
      <c r="T371">
        <v>0</v>
      </c>
      <c r="U371">
        <v>0</v>
      </c>
      <c r="V371">
        <v>90</v>
      </c>
    </row>
    <row r="372" spans="1:22" x14ac:dyDescent="0.3">
      <c r="A372" t="s">
        <v>384</v>
      </c>
      <c r="B372" t="s">
        <v>418</v>
      </c>
      <c r="C372">
        <v>4</v>
      </c>
      <c r="D372" t="s">
        <v>30</v>
      </c>
      <c r="E372" t="s">
        <v>41</v>
      </c>
      <c r="F372" t="s">
        <v>38</v>
      </c>
      <c r="G372">
        <f t="shared" si="27"/>
        <v>2</v>
      </c>
      <c r="H372">
        <v>885</v>
      </c>
      <c r="I372">
        <f t="shared" si="50"/>
        <v>0</v>
      </c>
      <c r="J372">
        <f t="shared" si="51"/>
        <v>0</v>
      </c>
      <c r="K372">
        <f t="shared" si="52"/>
        <v>0</v>
      </c>
      <c r="L372">
        <v>0</v>
      </c>
      <c r="M372">
        <f t="shared" si="53"/>
        <v>0</v>
      </c>
      <c r="N372">
        <f t="shared" si="54"/>
        <v>0</v>
      </c>
      <c r="O372">
        <f t="shared" si="55"/>
        <v>0</v>
      </c>
      <c r="P372">
        <v>0</v>
      </c>
      <c r="Q372">
        <f t="shared" si="56"/>
        <v>0</v>
      </c>
      <c r="R372">
        <f t="shared" si="57"/>
        <v>0</v>
      </c>
      <c r="S372">
        <v>0</v>
      </c>
      <c r="T372">
        <v>0</v>
      </c>
      <c r="U372">
        <v>0</v>
      </c>
      <c r="V372">
        <v>90</v>
      </c>
    </row>
    <row r="373" spans="1:22" x14ac:dyDescent="0.3">
      <c r="A373" t="s">
        <v>384</v>
      </c>
      <c r="B373" t="s">
        <v>419</v>
      </c>
      <c r="C373">
        <v>4</v>
      </c>
      <c r="D373" t="s">
        <v>30</v>
      </c>
      <c r="E373" t="s">
        <v>37</v>
      </c>
      <c r="F373" t="s">
        <v>38</v>
      </c>
      <c r="G373">
        <f t="shared" si="27"/>
        <v>2</v>
      </c>
      <c r="H373">
        <v>934</v>
      </c>
      <c r="I373">
        <f t="shared" si="50"/>
        <v>0</v>
      </c>
      <c r="J373">
        <f t="shared" si="51"/>
        <v>0</v>
      </c>
      <c r="K373">
        <f t="shared" si="52"/>
        <v>0</v>
      </c>
      <c r="L373">
        <v>0</v>
      </c>
      <c r="M373">
        <f t="shared" si="53"/>
        <v>0</v>
      </c>
      <c r="N373">
        <f t="shared" si="54"/>
        <v>0</v>
      </c>
      <c r="O373">
        <f t="shared" si="55"/>
        <v>0</v>
      </c>
      <c r="P373">
        <v>0</v>
      </c>
      <c r="Q373">
        <f t="shared" si="56"/>
        <v>0</v>
      </c>
      <c r="R373">
        <f t="shared" si="57"/>
        <v>0</v>
      </c>
      <c r="S373">
        <v>0</v>
      </c>
      <c r="T373">
        <v>0</v>
      </c>
      <c r="U373">
        <v>0</v>
      </c>
      <c r="V373">
        <v>90</v>
      </c>
    </row>
    <row r="374" spans="1:22" x14ac:dyDescent="0.3">
      <c r="A374" t="s">
        <v>384</v>
      </c>
      <c r="B374" t="s">
        <v>420</v>
      </c>
      <c r="C374">
        <v>5</v>
      </c>
      <c r="D374" t="s">
        <v>54</v>
      </c>
      <c r="E374" t="s">
        <v>41</v>
      </c>
      <c r="F374" t="s">
        <v>65</v>
      </c>
      <c r="G374">
        <f t="shared" si="27"/>
        <v>3</v>
      </c>
      <c r="H374">
        <v>959</v>
      </c>
      <c r="I374">
        <f t="shared" si="50"/>
        <v>0</v>
      </c>
      <c r="J374">
        <f t="shared" si="51"/>
        <v>0</v>
      </c>
      <c r="K374">
        <f t="shared" si="52"/>
        <v>0</v>
      </c>
      <c r="L374">
        <v>0</v>
      </c>
      <c r="M374">
        <f t="shared" si="53"/>
        <v>0</v>
      </c>
      <c r="N374">
        <f t="shared" si="54"/>
        <v>0</v>
      </c>
      <c r="O374">
        <f t="shared" si="55"/>
        <v>0</v>
      </c>
      <c r="P374">
        <v>0</v>
      </c>
      <c r="Q374">
        <f t="shared" si="56"/>
        <v>0</v>
      </c>
      <c r="R374">
        <f t="shared" si="57"/>
        <v>0</v>
      </c>
      <c r="S374">
        <v>0</v>
      </c>
      <c r="T374">
        <v>0</v>
      </c>
      <c r="U374">
        <v>0</v>
      </c>
      <c r="V374">
        <v>90</v>
      </c>
    </row>
    <row r="375" spans="1:22" x14ac:dyDescent="0.3">
      <c r="A375" t="s">
        <v>384</v>
      </c>
      <c r="B375" t="s">
        <v>421</v>
      </c>
      <c r="C375">
        <v>4</v>
      </c>
      <c r="D375" t="s">
        <v>56</v>
      </c>
      <c r="E375" t="s">
        <v>37</v>
      </c>
      <c r="F375" t="s">
        <v>65</v>
      </c>
      <c r="G375">
        <f t="shared" si="27"/>
        <v>3</v>
      </c>
      <c r="H375">
        <v>876</v>
      </c>
      <c r="I375">
        <f t="shared" si="50"/>
        <v>0</v>
      </c>
      <c r="J375">
        <f t="shared" si="51"/>
        <v>0</v>
      </c>
      <c r="K375">
        <f t="shared" si="52"/>
        <v>0</v>
      </c>
      <c r="L375">
        <v>0</v>
      </c>
      <c r="M375">
        <f t="shared" si="53"/>
        <v>0</v>
      </c>
      <c r="N375">
        <f t="shared" si="54"/>
        <v>0</v>
      </c>
      <c r="O375">
        <f t="shared" si="55"/>
        <v>0</v>
      </c>
      <c r="P375">
        <v>0</v>
      </c>
      <c r="Q375">
        <f t="shared" si="56"/>
        <v>0</v>
      </c>
      <c r="R375">
        <f t="shared" si="57"/>
        <v>0</v>
      </c>
      <c r="S375">
        <v>0</v>
      </c>
      <c r="T375">
        <v>0</v>
      </c>
      <c r="U375">
        <v>0</v>
      </c>
      <c r="V375">
        <v>90</v>
      </c>
    </row>
    <row r="376" spans="1:22" x14ac:dyDescent="0.3">
      <c r="A376" t="s">
        <v>384</v>
      </c>
      <c r="B376" t="s">
        <v>422</v>
      </c>
      <c r="C376">
        <v>4</v>
      </c>
      <c r="D376" t="s">
        <v>56</v>
      </c>
      <c r="E376" t="s">
        <v>41</v>
      </c>
      <c r="F376" t="s">
        <v>65</v>
      </c>
      <c r="G376">
        <f t="shared" si="27"/>
        <v>3</v>
      </c>
      <c r="H376">
        <v>629</v>
      </c>
      <c r="I376">
        <f t="shared" si="50"/>
        <v>0</v>
      </c>
      <c r="J376">
        <f t="shared" si="51"/>
        <v>0</v>
      </c>
      <c r="K376">
        <f t="shared" si="52"/>
        <v>0</v>
      </c>
      <c r="L376">
        <v>0</v>
      </c>
      <c r="M376">
        <f t="shared" si="53"/>
        <v>0</v>
      </c>
      <c r="N376">
        <f t="shared" si="54"/>
        <v>0</v>
      </c>
      <c r="O376">
        <f t="shared" si="55"/>
        <v>0</v>
      </c>
      <c r="P376">
        <v>0</v>
      </c>
      <c r="Q376">
        <f t="shared" si="56"/>
        <v>0</v>
      </c>
      <c r="R376">
        <f t="shared" si="57"/>
        <v>0</v>
      </c>
      <c r="S376">
        <v>0</v>
      </c>
      <c r="T376">
        <v>0</v>
      </c>
      <c r="U376">
        <v>0</v>
      </c>
      <c r="V376">
        <v>90</v>
      </c>
    </row>
    <row r="377" spans="1:22" x14ac:dyDescent="0.3">
      <c r="A377" t="s">
        <v>384</v>
      </c>
      <c r="B377" t="s">
        <v>423</v>
      </c>
      <c r="C377">
        <v>2</v>
      </c>
      <c r="D377" t="s">
        <v>30</v>
      </c>
      <c r="E377" t="s">
        <v>25</v>
      </c>
      <c r="F377" t="s">
        <v>60</v>
      </c>
      <c r="G377">
        <f t="shared" si="27"/>
        <v>1</v>
      </c>
      <c r="H377">
        <v>176</v>
      </c>
      <c r="I377">
        <f t="shared" si="50"/>
        <v>0</v>
      </c>
      <c r="J377">
        <f t="shared" si="51"/>
        <v>0</v>
      </c>
      <c r="K377">
        <f t="shared" si="52"/>
        <v>0</v>
      </c>
      <c r="L377">
        <v>0</v>
      </c>
      <c r="M377">
        <f t="shared" si="53"/>
        <v>0</v>
      </c>
      <c r="N377">
        <f t="shared" si="54"/>
        <v>0</v>
      </c>
      <c r="O377">
        <f t="shared" si="55"/>
        <v>0</v>
      </c>
      <c r="P377">
        <v>0</v>
      </c>
      <c r="Q377">
        <f t="shared" si="56"/>
        <v>0</v>
      </c>
      <c r="R377">
        <f t="shared" si="57"/>
        <v>0</v>
      </c>
      <c r="S377">
        <v>0</v>
      </c>
      <c r="T377">
        <v>0</v>
      </c>
      <c r="U377">
        <v>0</v>
      </c>
      <c r="V377">
        <v>90</v>
      </c>
    </row>
    <row r="378" spans="1:22" x14ac:dyDescent="0.3">
      <c r="A378" t="s">
        <v>384</v>
      </c>
      <c r="B378" t="s">
        <v>424</v>
      </c>
      <c r="C378">
        <v>3</v>
      </c>
      <c r="D378" t="s">
        <v>30</v>
      </c>
      <c r="E378" t="s">
        <v>28</v>
      </c>
      <c r="F378" t="s">
        <v>38</v>
      </c>
      <c r="G378">
        <f t="shared" si="27"/>
        <v>2</v>
      </c>
      <c r="H378">
        <v>361</v>
      </c>
      <c r="I378">
        <f t="shared" si="50"/>
        <v>0</v>
      </c>
      <c r="J378">
        <f t="shared" si="51"/>
        <v>0</v>
      </c>
      <c r="K378">
        <f t="shared" si="52"/>
        <v>0</v>
      </c>
      <c r="L378">
        <v>0</v>
      </c>
      <c r="M378">
        <f t="shared" si="53"/>
        <v>0</v>
      </c>
      <c r="N378">
        <f t="shared" si="54"/>
        <v>0</v>
      </c>
      <c r="O378">
        <f t="shared" si="55"/>
        <v>0</v>
      </c>
      <c r="P378">
        <v>0</v>
      </c>
      <c r="Q378">
        <f t="shared" si="56"/>
        <v>0</v>
      </c>
      <c r="R378">
        <f t="shared" si="57"/>
        <v>0</v>
      </c>
      <c r="S378">
        <v>0</v>
      </c>
      <c r="T378">
        <v>0</v>
      </c>
      <c r="U378">
        <v>0</v>
      </c>
      <c r="V378">
        <v>90</v>
      </c>
    </row>
    <row r="379" spans="1:22" x14ac:dyDescent="0.3">
      <c r="A379" t="s">
        <v>384</v>
      </c>
      <c r="B379" t="s">
        <v>425</v>
      </c>
      <c r="C379">
        <v>3</v>
      </c>
      <c r="D379" t="s">
        <v>73</v>
      </c>
      <c r="E379" t="s">
        <v>31</v>
      </c>
      <c r="F379" t="s">
        <v>38</v>
      </c>
      <c r="G379">
        <f t="shared" si="27"/>
        <v>2</v>
      </c>
      <c r="H379">
        <v>268</v>
      </c>
      <c r="I379">
        <f t="shared" si="50"/>
        <v>0</v>
      </c>
      <c r="J379">
        <f t="shared" si="51"/>
        <v>0</v>
      </c>
      <c r="K379">
        <f t="shared" si="52"/>
        <v>0</v>
      </c>
      <c r="L379">
        <v>0</v>
      </c>
      <c r="M379">
        <f t="shared" si="53"/>
        <v>0</v>
      </c>
      <c r="N379">
        <f t="shared" si="54"/>
        <v>0</v>
      </c>
      <c r="O379">
        <f t="shared" si="55"/>
        <v>0</v>
      </c>
      <c r="P379">
        <v>0</v>
      </c>
      <c r="Q379">
        <f t="shared" si="56"/>
        <v>0</v>
      </c>
      <c r="R379">
        <f t="shared" si="57"/>
        <v>0</v>
      </c>
      <c r="S379">
        <v>0</v>
      </c>
      <c r="T379">
        <v>0</v>
      </c>
      <c r="U379">
        <v>0</v>
      </c>
      <c r="V379">
        <v>90</v>
      </c>
    </row>
    <row r="380" spans="1:22" x14ac:dyDescent="0.3">
      <c r="A380" t="s">
        <v>384</v>
      </c>
      <c r="B380" t="s">
        <v>426</v>
      </c>
      <c r="C380">
        <v>1</v>
      </c>
      <c r="D380" t="s">
        <v>73</v>
      </c>
      <c r="E380" t="s">
        <v>41</v>
      </c>
      <c r="F380" t="s">
        <v>60</v>
      </c>
      <c r="G380">
        <f t="shared" si="27"/>
        <v>1</v>
      </c>
      <c r="H380">
        <v>298</v>
      </c>
      <c r="I380">
        <f t="shared" si="50"/>
        <v>0</v>
      </c>
      <c r="J380">
        <f t="shared" si="51"/>
        <v>0</v>
      </c>
      <c r="K380">
        <f t="shared" si="52"/>
        <v>0</v>
      </c>
      <c r="L380">
        <v>0</v>
      </c>
      <c r="M380">
        <f t="shared" si="53"/>
        <v>0</v>
      </c>
      <c r="N380">
        <f t="shared" si="54"/>
        <v>0</v>
      </c>
      <c r="O380">
        <f t="shared" si="55"/>
        <v>0</v>
      </c>
      <c r="P380">
        <v>0</v>
      </c>
      <c r="Q380">
        <f t="shared" si="56"/>
        <v>0</v>
      </c>
      <c r="R380">
        <f t="shared" si="57"/>
        <v>0</v>
      </c>
      <c r="S380">
        <v>0</v>
      </c>
      <c r="T380">
        <v>0</v>
      </c>
      <c r="U380">
        <v>0</v>
      </c>
      <c r="V380">
        <v>90</v>
      </c>
    </row>
    <row r="381" spans="1:22" x14ac:dyDescent="0.3">
      <c r="A381" t="s">
        <v>384</v>
      </c>
      <c r="B381" t="s">
        <v>427</v>
      </c>
      <c r="C381">
        <v>3</v>
      </c>
      <c r="D381" t="s">
        <v>56</v>
      </c>
      <c r="E381" t="s">
        <v>41</v>
      </c>
      <c r="F381" t="s">
        <v>38</v>
      </c>
      <c r="G381">
        <f t="shared" si="27"/>
        <v>2</v>
      </c>
      <c r="H381">
        <v>46</v>
      </c>
      <c r="I381">
        <f t="shared" si="50"/>
        <v>0</v>
      </c>
      <c r="J381">
        <f t="shared" si="51"/>
        <v>0</v>
      </c>
      <c r="K381">
        <f t="shared" si="52"/>
        <v>0</v>
      </c>
      <c r="L381">
        <v>0</v>
      </c>
      <c r="M381">
        <f t="shared" si="53"/>
        <v>0</v>
      </c>
      <c r="N381">
        <f t="shared" si="54"/>
        <v>0</v>
      </c>
      <c r="O381">
        <f t="shared" si="55"/>
        <v>0</v>
      </c>
      <c r="P381">
        <v>0</v>
      </c>
      <c r="Q381">
        <f t="shared" si="56"/>
        <v>0</v>
      </c>
      <c r="R381">
        <f t="shared" si="57"/>
        <v>0</v>
      </c>
      <c r="S381">
        <v>0</v>
      </c>
      <c r="T381">
        <v>0</v>
      </c>
      <c r="U381">
        <v>0</v>
      </c>
      <c r="V381">
        <v>90</v>
      </c>
    </row>
    <row r="382" spans="1:22" x14ac:dyDescent="0.3">
      <c r="A382" t="s">
        <v>384</v>
      </c>
      <c r="B382" t="s">
        <v>428</v>
      </c>
      <c r="C382">
        <v>1</v>
      </c>
      <c r="D382" t="s">
        <v>73</v>
      </c>
      <c r="E382" t="s">
        <v>37</v>
      </c>
      <c r="F382" t="s">
        <v>60</v>
      </c>
      <c r="G382">
        <f t="shared" si="27"/>
        <v>1</v>
      </c>
      <c r="H382">
        <v>243</v>
      </c>
      <c r="I382">
        <f t="shared" si="50"/>
        <v>0</v>
      </c>
      <c r="J382">
        <f t="shared" si="51"/>
        <v>0</v>
      </c>
      <c r="K382">
        <f t="shared" si="52"/>
        <v>0</v>
      </c>
      <c r="L382">
        <v>0</v>
      </c>
      <c r="M382">
        <f t="shared" si="53"/>
        <v>0</v>
      </c>
      <c r="N382">
        <f t="shared" si="54"/>
        <v>0</v>
      </c>
      <c r="O382">
        <f t="shared" si="55"/>
        <v>0</v>
      </c>
      <c r="P382">
        <v>0</v>
      </c>
      <c r="Q382">
        <f t="shared" si="56"/>
        <v>0</v>
      </c>
      <c r="R382">
        <f t="shared" si="57"/>
        <v>0</v>
      </c>
      <c r="S382">
        <v>0</v>
      </c>
      <c r="T382">
        <v>0</v>
      </c>
      <c r="U382">
        <v>0</v>
      </c>
      <c r="V382">
        <v>90</v>
      </c>
    </row>
    <row r="383" spans="1:22" x14ac:dyDescent="0.3">
      <c r="A383" t="s">
        <v>384</v>
      </c>
      <c r="B383" t="s">
        <v>429</v>
      </c>
      <c r="C383">
        <v>4</v>
      </c>
      <c r="D383" t="s">
        <v>56</v>
      </c>
      <c r="E383" t="s">
        <v>31</v>
      </c>
      <c r="F383" t="s">
        <v>65</v>
      </c>
      <c r="G383">
        <f t="shared" si="27"/>
        <v>3</v>
      </c>
      <c r="H383">
        <v>94</v>
      </c>
      <c r="I383">
        <f t="shared" si="50"/>
        <v>0</v>
      </c>
      <c r="J383">
        <f t="shared" si="51"/>
        <v>0</v>
      </c>
      <c r="K383">
        <f t="shared" si="52"/>
        <v>0</v>
      </c>
      <c r="L383">
        <v>0</v>
      </c>
      <c r="M383">
        <f t="shared" si="53"/>
        <v>0</v>
      </c>
      <c r="N383">
        <f t="shared" si="54"/>
        <v>0</v>
      </c>
      <c r="O383">
        <f t="shared" si="55"/>
        <v>0</v>
      </c>
      <c r="P383">
        <v>0</v>
      </c>
      <c r="Q383">
        <f t="shared" si="56"/>
        <v>0</v>
      </c>
      <c r="R383">
        <f t="shared" si="57"/>
        <v>0</v>
      </c>
      <c r="S383">
        <v>0</v>
      </c>
      <c r="T383">
        <v>0</v>
      </c>
      <c r="U383">
        <v>0</v>
      </c>
      <c r="V383">
        <v>90</v>
      </c>
    </row>
    <row r="384" spans="1:22" x14ac:dyDescent="0.3">
      <c r="A384" t="s">
        <v>384</v>
      </c>
      <c r="B384" t="s">
        <v>430</v>
      </c>
      <c r="C384">
        <v>1</v>
      </c>
      <c r="D384" t="s">
        <v>73</v>
      </c>
      <c r="E384" t="s">
        <v>41</v>
      </c>
      <c r="F384" t="s">
        <v>60</v>
      </c>
      <c r="G384">
        <f t="shared" si="27"/>
        <v>1</v>
      </c>
      <c r="H384">
        <v>102</v>
      </c>
      <c r="I384">
        <f t="shared" si="50"/>
        <v>0</v>
      </c>
      <c r="J384">
        <f t="shared" si="51"/>
        <v>0</v>
      </c>
      <c r="K384">
        <f t="shared" si="52"/>
        <v>0</v>
      </c>
      <c r="L384">
        <v>0</v>
      </c>
      <c r="M384">
        <f t="shared" si="53"/>
        <v>0</v>
      </c>
      <c r="N384">
        <f t="shared" si="54"/>
        <v>0</v>
      </c>
      <c r="O384">
        <f t="shared" si="55"/>
        <v>0</v>
      </c>
      <c r="P384">
        <v>0</v>
      </c>
      <c r="Q384">
        <f t="shared" si="56"/>
        <v>0</v>
      </c>
      <c r="R384">
        <f t="shared" si="57"/>
        <v>0</v>
      </c>
      <c r="S384">
        <v>0</v>
      </c>
      <c r="T384">
        <v>0</v>
      </c>
      <c r="U384">
        <v>0</v>
      </c>
      <c r="V384">
        <v>90</v>
      </c>
    </row>
    <row r="385" spans="1:22" x14ac:dyDescent="0.3">
      <c r="A385" t="s">
        <v>384</v>
      </c>
      <c r="B385" t="s">
        <v>431</v>
      </c>
      <c r="C385">
        <v>3</v>
      </c>
      <c r="D385" t="s">
        <v>54</v>
      </c>
      <c r="E385" t="s">
        <v>28</v>
      </c>
      <c r="F385" t="s">
        <v>38</v>
      </c>
      <c r="G385">
        <f t="shared" si="27"/>
        <v>2</v>
      </c>
      <c r="H385">
        <v>55</v>
      </c>
      <c r="I385">
        <f t="shared" si="50"/>
        <v>0</v>
      </c>
      <c r="J385">
        <f t="shared" si="51"/>
        <v>0</v>
      </c>
      <c r="K385">
        <f t="shared" si="52"/>
        <v>0</v>
      </c>
      <c r="L385">
        <v>0</v>
      </c>
      <c r="M385">
        <f t="shared" si="53"/>
        <v>0</v>
      </c>
      <c r="N385">
        <f t="shared" si="54"/>
        <v>0</v>
      </c>
      <c r="O385">
        <f t="shared" si="55"/>
        <v>0</v>
      </c>
      <c r="P385">
        <v>0</v>
      </c>
      <c r="Q385">
        <f t="shared" si="56"/>
        <v>0</v>
      </c>
      <c r="R385">
        <f t="shared" si="57"/>
        <v>0</v>
      </c>
      <c r="S385">
        <v>0</v>
      </c>
      <c r="T385">
        <v>0</v>
      </c>
      <c r="U385">
        <v>0</v>
      </c>
      <c r="V385">
        <v>90</v>
      </c>
    </row>
    <row r="386" spans="1:22" x14ac:dyDescent="0.3">
      <c r="A386" t="s">
        <v>384</v>
      </c>
      <c r="B386" t="s">
        <v>432</v>
      </c>
      <c r="C386">
        <v>4</v>
      </c>
      <c r="D386" t="s">
        <v>56</v>
      </c>
      <c r="E386" t="s">
        <v>34</v>
      </c>
      <c r="F386" t="s">
        <v>38</v>
      </c>
      <c r="G386">
        <f t="shared" si="27"/>
        <v>2</v>
      </c>
      <c r="H386">
        <v>15</v>
      </c>
      <c r="I386">
        <f t="shared" si="50"/>
        <v>0</v>
      </c>
      <c r="J386">
        <f t="shared" si="51"/>
        <v>0</v>
      </c>
      <c r="K386">
        <f t="shared" si="52"/>
        <v>0</v>
      </c>
      <c r="L386">
        <v>0</v>
      </c>
      <c r="M386">
        <f t="shared" si="53"/>
        <v>0</v>
      </c>
      <c r="N386">
        <f t="shared" si="54"/>
        <v>0</v>
      </c>
      <c r="O386">
        <f t="shared" si="55"/>
        <v>0</v>
      </c>
      <c r="P386">
        <v>0</v>
      </c>
      <c r="Q386">
        <f t="shared" si="56"/>
        <v>0</v>
      </c>
      <c r="R386">
        <f t="shared" si="57"/>
        <v>0</v>
      </c>
      <c r="S386">
        <v>0</v>
      </c>
      <c r="T386">
        <v>0</v>
      </c>
      <c r="U386">
        <v>0</v>
      </c>
      <c r="V386">
        <v>90</v>
      </c>
    </row>
    <row r="387" spans="1:22" x14ac:dyDescent="0.3">
      <c r="A387" t="s">
        <v>384</v>
      </c>
      <c r="B387" t="s">
        <v>433</v>
      </c>
      <c r="C387">
        <v>3</v>
      </c>
      <c r="D387" t="s">
        <v>56</v>
      </c>
      <c r="E387" t="s">
        <v>41</v>
      </c>
      <c r="F387" t="s">
        <v>38</v>
      </c>
      <c r="G387">
        <f t="shared" si="27"/>
        <v>2</v>
      </c>
      <c r="H387">
        <v>0</v>
      </c>
      <c r="I387">
        <f t="shared" si="50"/>
        <v>0</v>
      </c>
      <c r="J387">
        <f t="shared" si="51"/>
        <v>0</v>
      </c>
      <c r="K387">
        <f t="shared" si="52"/>
        <v>0</v>
      </c>
      <c r="L387">
        <v>0</v>
      </c>
      <c r="M387">
        <f t="shared" si="53"/>
        <v>0</v>
      </c>
      <c r="N387">
        <f t="shared" si="54"/>
        <v>0</v>
      </c>
      <c r="O387">
        <f t="shared" si="55"/>
        <v>0</v>
      </c>
      <c r="P387">
        <v>0</v>
      </c>
      <c r="Q387">
        <f t="shared" si="56"/>
        <v>0</v>
      </c>
      <c r="R387">
        <f t="shared" si="57"/>
        <v>0</v>
      </c>
      <c r="S387">
        <v>0</v>
      </c>
      <c r="T387">
        <v>0</v>
      </c>
      <c r="U387">
        <v>0</v>
      </c>
      <c r="V387">
        <v>90</v>
      </c>
    </row>
    <row r="388" spans="1:22" x14ac:dyDescent="0.3">
      <c r="A388" t="s">
        <v>384</v>
      </c>
      <c r="B388" t="s">
        <v>434</v>
      </c>
      <c r="C388">
        <v>3</v>
      </c>
      <c r="D388" t="s">
        <v>56</v>
      </c>
      <c r="E388" t="s">
        <v>31</v>
      </c>
      <c r="F388" t="s">
        <v>38</v>
      </c>
      <c r="G388">
        <f t="shared" si="27"/>
        <v>2</v>
      </c>
      <c r="H388">
        <v>0</v>
      </c>
      <c r="I388">
        <f t="shared" si="50"/>
        <v>0</v>
      </c>
      <c r="J388">
        <f t="shared" si="51"/>
        <v>0</v>
      </c>
      <c r="K388">
        <f t="shared" si="52"/>
        <v>0</v>
      </c>
      <c r="L388">
        <v>0</v>
      </c>
      <c r="M388">
        <f t="shared" si="53"/>
        <v>0</v>
      </c>
      <c r="N388">
        <f t="shared" si="54"/>
        <v>0</v>
      </c>
      <c r="O388">
        <f t="shared" si="55"/>
        <v>0</v>
      </c>
      <c r="P388">
        <v>0</v>
      </c>
      <c r="Q388">
        <f t="shared" si="56"/>
        <v>0</v>
      </c>
      <c r="R388">
        <f t="shared" si="57"/>
        <v>0</v>
      </c>
      <c r="S388">
        <v>0</v>
      </c>
      <c r="T388">
        <v>0</v>
      </c>
      <c r="U388">
        <v>0</v>
      </c>
      <c r="V388">
        <v>90</v>
      </c>
    </row>
    <row r="389" spans="1:22" x14ac:dyDescent="0.3">
      <c r="A389" t="s">
        <v>384</v>
      </c>
      <c r="B389" t="s">
        <v>435</v>
      </c>
      <c r="C389">
        <v>2</v>
      </c>
      <c r="D389" t="s">
        <v>54</v>
      </c>
      <c r="E389" t="s">
        <v>41</v>
      </c>
      <c r="F389" t="s">
        <v>60</v>
      </c>
      <c r="G389">
        <f t="shared" si="27"/>
        <v>1</v>
      </c>
      <c r="H389">
        <v>0</v>
      </c>
      <c r="I389">
        <f t="shared" si="50"/>
        <v>0</v>
      </c>
      <c r="J389">
        <f t="shared" si="51"/>
        <v>0</v>
      </c>
      <c r="K389">
        <f t="shared" si="52"/>
        <v>0</v>
      </c>
      <c r="L389">
        <v>0</v>
      </c>
      <c r="M389">
        <f t="shared" si="53"/>
        <v>0</v>
      </c>
      <c r="N389">
        <f t="shared" si="54"/>
        <v>0</v>
      </c>
      <c r="O389">
        <f t="shared" si="55"/>
        <v>0</v>
      </c>
      <c r="P389">
        <v>0</v>
      </c>
      <c r="Q389">
        <f t="shared" si="56"/>
        <v>0</v>
      </c>
      <c r="R389">
        <f t="shared" si="57"/>
        <v>0</v>
      </c>
      <c r="S389">
        <v>0</v>
      </c>
      <c r="T389">
        <v>0</v>
      </c>
      <c r="U389">
        <v>0</v>
      </c>
      <c r="V389">
        <v>90</v>
      </c>
    </row>
    <row r="390" spans="1:22" x14ac:dyDescent="0.3">
      <c r="A390" t="s">
        <v>384</v>
      </c>
      <c r="B390" t="s">
        <v>436</v>
      </c>
      <c r="C390">
        <v>4</v>
      </c>
      <c r="D390" t="s">
        <v>30</v>
      </c>
      <c r="E390" t="s">
        <v>31</v>
      </c>
      <c r="F390" t="s">
        <v>38</v>
      </c>
      <c r="G390">
        <f t="shared" si="27"/>
        <v>2</v>
      </c>
      <c r="H390">
        <v>0</v>
      </c>
      <c r="I390">
        <f t="shared" si="50"/>
        <v>0</v>
      </c>
      <c r="J390">
        <f t="shared" si="51"/>
        <v>0</v>
      </c>
      <c r="K390">
        <f t="shared" si="52"/>
        <v>0</v>
      </c>
      <c r="L390">
        <v>0</v>
      </c>
      <c r="M390">
        <f t="shared" si="53"/>
        <v>0</v>
      </c>
      <c r="N390">
        <f t="shared" si="54"/>
        <v>0</v>
      </c>
      <c r="O390">
        <f t="shared" si="55"/>
        <v>0</v>
      </c>
      <c r="P390">
        <v>0</v>
      </c>
      <c r="Q390">
        <f t="shared" si="56"/>
        <v>0</v>
      </c>
      <c r="R390">
        <f t="shared" si="57"/>
        <v>0</v>
      </c>
      <c r="S390">
        <v>0</v>
      </c>
      <c r="T390">
        <v>0</v>
      </c>
      <c r="U390">
        <v>0</v>
      </c>
      <c r="V390">
        <v>90</v>
      </c>
    </row>
    <row r="391" spans="1:22" x14ac:dyDescent="0.3">
      <c r="A391" t="s">
        <v>384</v>
      </c>
      <c r="B391" t="s">
        <v>437</v>
      </c>
      <c r="C391">
        <v>2</v>
      </c>
      <c r="D391" t="s">
        <v>30</v>
      </c>
      <c r="E391" t="s">
        <v>31</v>
      </c>
      <c r="F391" t="s">
        <v>60</v>
      </c>
      <c r="G391">
        <f t="shared" si="27"/>
        <v>1</v>
      </c>
      <c r="H391">
        <v>0</v>
      </c>
      <c r="I391">
        <f t="shared" si="50"/>
        <v>0</v>
      </c>
      <c r="J391">
        <f t="shared" si="51"/>
        <v>0</v>
      </c>
      <c r="K391">
        <f t="shared" si="52"/>
        <v>0</v>
      </c>
      <c r="L391">
        <v>0</v>
      </c>
      <c r="M391">
        <f t="shared" si="53"/>
        <v>0</v>
      </c>
      <c r="N391">
        <f t="shared" si="54"/>
        <v>0</v>
      </c>
      <c r="O391">
        <f t="shared" si="55"/>
        <v>0</v>
      </c>
      <c r="P391">
        <v>0</v>
      </c>
      <c r="Q391">
        <f t="shared" si="56"/>
        <v>0</v>
      </c>
      <c r="R391">
        <f t="shared" si="57"/>
        <v>0</v>
      </c>
      <c r="S391">
        <v>0</v>
      </c>
      <c r="T391">
        <v>0</v>
      </c>
      <c r="U391">
        <v>0</v>
      </c>
      <c r="V391">
        <v>90</v>
      </c>
    </row>
    <row r="392" spans="1:22" x14ac:dyDescent="0.3">
      <c r="A392" t="s">
        <v>384</v>
      </c>
      <c r="B392" t="s">
        <v>438</v>
      </c>
      <c r="C392">
        <v>4</v>
      </c>
      <c r="D392" t="s">
        <v>54</v>
      </c>
      <c r="E392" t="s">
        <v>31</v>
      </c>
      <c r="F392" t="s">
        <v>38</v>
      </c>
      <c r="G392">
        <f t="shared" si="27"/>
        <v>2</v>
      </c>
      <c r="H392">
        <v>0</v>
      </c>
      <c r="I392">
        <f t="shared" si="50"/>
        <v>0</v>
      </c>
      <c r="J392">
        <f t="shared" si="51"/>
        <v>0</v>
      </c>
      <c r="K392">
        <f t="shared" si="52"/>
        <v>0</v>
      </c>
      <c r="L392">
        <v>0</v>
      </c>
      <c r="M392">
        <f t="shared" si="53"/>
        <v>0</v>
      </c>
      <c r="N392">
        <f t="shared" si="54"/>
        <v>0</v>
      </c>
      <c r="O392">
        <f t="shared" si="55"/>
        <v>0</v>
      </c>
      <c r="P392">
        <v>0</v>
      </c>
      <c r="Q392">
        <f t="shared" si="56"/>
        <v>0</v>
      </c>
      <c r="R392">
        <f t="shared" si="57"/>
        <v>0</v>
      </c>
      <c r="S392">
        <v>0</v>
      </c>
      <c r="T392">
        <v>0</v>
      </c>
      <c r="U392">
        <v>0</v>
      </c>
      <c r="V392">
        <v>90</v>
      </c>
    </row>
    <row r="393" spans="1:22" x14ac:dyDescent="0.3">
      <c r="A393" t="s">
        <v>384</v>
      </c>
      <c r="B393" t="s">
        <v>439</v>
      </c>
      <c r="C393">
        <v>3</v>
      </c>
      <c r="D393" t="s">
        <v>56</v>
      </c>
      <c r="E393" t="s">
        <v>31</v>
      </c>
      <c r="F393" t="s">
        <v>38</v>
      </c>
      <c r="G393">
        <f t="shared" si="27"/>
        <v>2</v>
      </c>
      <c r="H393">
        <v>0</v>
      </c>
      <c r="I393">
        <f t="shared" si="50"/>
        <v>0</v>
      </c>
      <c r="J393">
        <f t="shared" si="51"/>
        <v>0</v>
      </c>
      <c r="K393">
        <f t="shared" si="52"/>
        <v>0</v>
      </c>
      <c r="L393">
        <v>0</v>
      </c>
      <c r="M393">
        <f t="shared" si="53"/>
        <v>0</v>
      </c>
      <c r="N393">
        <f t="shared" si="54"/>
        <v>0</v>
      </c>
      <c r="O393">
        <f t="shared" si="55"/>
        <v>0</v>
      </c>
      <c r="P393">
        <v>0</v>
      </c>
      <c r="Q393">
        <f t="shared" si="56"/>
        <v>0</v>
      </c>
      <c r="R393">
        <f t="shared" si="57"/>
        <v>0</v>
      </c>
      <c r="S393">
        <v>0</v>
      </c>
      <c r="T393">
        <v>0</v>
      </c>
      <c r="U393">
        <v>0</v>
      </c>
      <c r="V393">
        <v>90</v>
      </c>
    </row>
    <row r="394" spans="1:22" x14ac:dyDescent="0.3">
      <c r="A394" t="s">
        <v>384</v>
      </c>
      <c r="B394" t="s">
        <v>440</v>
      </c>
      <c r="C394">
        <v>3</v>
      </c>
      <c r="D394" t="s">
        <v>56</v>
      </c>
      <c r="E394" t="s">
        <v>31</v>
      </c>
      <c r="F394" t="s">
        <v>38</v>
      </c>
      <c r="G394">
        <f t="shared" si="27"/>
        <v>2</v>
      </c>
      <c r="H394">
        <v>0</v>
      </c>
      <c r="I394">
        <f t="shared" si="50"/>
        <v>0</v>
      </c>
      <c r="J394">
        <f t="shared" si="51"/>
        <v>0</v>
      </c>
      <c r="K394">
        <f t="shared" si="52"/>
        <v>0</v>
      </c>
      <c r="L394">
        <v>0</v>
      </c>
      <c r="M394">
        <f t="shared" si="53"/>
        <v>0</v>
      </c>
      <c r="N394">
        <f t="shared" si="54"/>
        <v>0</v>
      </c>
      <c r="O394">
        <f t="shared" si="55"/>
        <v>0</v>
      </c>
      <c r="P394">
        <v>0</v>
      </c>
      <c r="Q394">
        <f t="shared" si="56"/>
        <v>0</v>
      </c>
      <c r="R394">
        <f t="shared" si="57"/>
        <v>0</v>
      </c>
      <c r="S394">
        <v>0</v>
      </c>
      <c r="T394">
        <v>0</v>
      </c>
      <c r="U394">
        <v>0</v>
      </c>
      <c r="V394">
        <v>90</v>
      </c>
    </row>
    <row r="395" spans="1:22" x14ac:dyDescent="0.3">
      <c r="A395" t="s">
        <v>384</v>
      </c>
      <c r="B395" t="s">
        <v>441</v>
      </c>
      <c r="C395">
        <v>4</v>
      </c>
      <c r="D395" t="s">
        <v>73</v>
      </c>
      <c r="E395" t="s">
        <v>369</v>
      </c>
      <c r="F395" t="s">
        <v>38</v>
      </c>
      <c r="G395">
        <f t="shared" si="27"/>
        <v>2</v>
      </c>
      <c r="H395">
        <v>0</v>
      </c>
      <c r="I395">
        <f t="shared" si="50"/>
        <v>0</v>
      </c>
      <c r="J395">
        <f t="shared" si="51"/>
        <v>0</v>
      </c>
      <c r="K395">
        <f t="shared" si="52"/>
        <v>0</v>
      </c>
      <c r="L395">
        <v>0</v>
      </c>
      <c r="M395">
        <f t="shared" si="53"/>
        <v>0</v>
      </c>
      <c r="N395">
        <f t="shared" si="54"/>
        <v>0</v>
      </c>
      <c r="O395">
        <f t="shared" si="55"/>
        <v>0</v>
      </c>
      <c r="P395">
        <v>0</v>
      </c>
      <c r="Q395">
        <f t="shared" si="56"/>
        <v>0</v>
      </c>
      <c r="R395">
        <f t="shared" si="57"/>
        <v>0</v>
      </c>
      <c r="S395">
        <v>0</v>
      </c>
      <c r="T395">
        <v>0</v>
      </c>
      <c r="U395">
        <v>0</v>
      </c>
      <c r="V395">
        <v>90</v>
      </c>
    </row>
    <row r="396" spans="1:22" x14ac:dyDescent="0.3">
      <c r="A396" t="s">
        <v>384</v>
      </c>
      <c r="B396" t="s">
        <v>442</v>
      </c>
      <c r="C396">
        <v>2</v>
      </c>
      <c r="D396" t="s">
        <v>73</v>
      </c>
      <c r="E396" t="s">
        <v>34</v>
      </c>
      <c r="F396" t="s">
        <v>38</v>
      </c>
      <c r="G396">
        <f t="shared" si="27"/>
        <v>2</v>
      </c>
      <c r="H396">
        <v>0</v>
      </c>
      <c r="I396">
        <f t="shared" si="50"/>
        <v>0</v>
      </c>
      <c r="J396">
        <f t="shared" si="51"/>
        <v>0</v>
      </c>
      <c r="K396">
        <f t="shared" si="52"/>
        <v>0</v>
      </c>
      <c r="L396">
        <v>0</v>
      </c>
      <c r="M396">
        <f t="shared" si="53"/>
        <v>0</v>
      </c>
      <c r="N396">
        <f t="shared" si="54"/>
        <v>0</v>
      </c>
      <c r="O396">
        <f t="shared" si="55"/>
        <v>0</v>
      </c>
      <c r="P396">
        <v>0</v>
      </c>
      <c r="Q396">
        <f t="shared" si="56"/>
        <v>0</v>
      </c>
      <c r="R396">
        <f t="shared" si="57"/>
        <v>0</v>
      </c>
      <c r="S396">
        <v>0</v>
      </c>
      <c r="T396">
        <v>0</v>
      </c>
      <c r="U396">
        <v>0</v>
      </c>
      <c r="V396">
        <v>90</v>
      </c>
    </row>
    <row r="397" spans="1:22" x14ac:dyDescent="0.3">
      <c r="A397" t="s">
        <v>384</v>
      </c>
      <c r="B397" t="s">
        <v>443</v>
      </c>
      <c r="C397">
        <v>4</v>
      </c>
      <c r="D397" t="s">
        <v>56</v>
      </c>
      <c r="E397" t="s">
        <v>34</v>
      </c>
      <c r="F397" t="s">
        <v>38</v>
      </c>
      <c r="G397">
        <f t="shared" si="27"/>
        <v>2</v>
      </c>
      <c r="H397">
        <v>0</v>
      </c>
      <c r="I397">
        <f t="shared" si="50"/>
        <v>0</v>
      </c>
      <c r="J397">
        <f t="shared" si="51"/>
        <v>0</v>
      </c>
      <c r="K397">
        <f t="shared" si="52"/>
        <v>0</v>
      </c>
      <c r="L397">
        <v>0</v>
      </c>
      <c r="M397">
        <f t="shared" si="53"/>
        <v>0</v>
      </c>
      <c r="N397">
        <f t="shared" si="54"/>
        <v>0</v>
      </c>
      <c r="O397">
        <f t="shared" si="55"/>
        <v>0</v>
      </c>
      <c r="P397">
        <v>0</v>
      </c>
      <c r="Q397">
        <f t="shared" si="56"/>
        <v>0</v>
      </c>
      <c r="R397">
        <f t="shared" si="57"/>
        <v>0</v>
      </c>
      <c r="S397">
        <v>0</v>
      </c>
      <c r="T397">
        <v>0</v>
      </c>
      <c r="U397">
        <v>0</v>
      </c>
      <c r="V397">
        <v>90</v>
      </c>
    </row>
    <row r="398" spans="1:22" x14ac:dyDescent="0.3">
      <c r="A398" t="s">
        <v>384</v>
      </c>
      <c r="B398" t="s">
        <v>444</v>
      </c>
      <c r="C398">
        <v>1</v>
      </c>
      <c r="D398" t="s">
        <v>316</v>
      </c>
      <c r="E398" t="s">
        <v>41</v>
      </c>
      <c r="F398" t="s">
        <v>60</v>
      </c>
      <c r="G398">
        <f t="shared" si="27"/>
        <v>1</v>
      </c>
      <c r="H398">
        <v>101</v>
      </c>
      <c r="I398">
        <f t="shared" si="50"/>
        <v>0</v>
      </c>
      <c r="J398">
        <f t="shared" si="51"/>
        <v>0</v>
      </c>
      <c r="K398">
        <f t="shared" si="52"/>
        <v>0</v>
      </c>
      <c r="L398">
        <v>0</v>
      </c>
      <c r="M398">
        <f t="shared" si="53"/>
        <v>0</v>
      </c>
      <c r="N398">
        <f t="shared" si="54"/>
        <v>0</v>
      </c>
      <c r="O398">
        <f t="shared" si="55"/>
        <v>0</v>
      </c>
      <c r="P398">
        <v>0</v>
      </c>
      <c r="Q398">
        <f t="shared" si="56"/>
        <v>0</v>
      </c>
      <c r="R398">
        <f t="shared" si="57"/>
        <v>0</v>
      </c>
      <c r="S398">
        <v>0</v>
      </c>
      <c r="T398">
        <v>0</v>
      </c>
      <c r="U398">
        <v>0</v>
      </c>
      <c r="V398">
        <v>90</v>
      </c>
    </row>
    <row r="399" spans="1:22" x14ac:dyDescent="0.3">
      <c r="A399" t="s">
        <v>384</v>
      </c>
      <c r="B399" t="s">
        <v>445</v>
      </c>
      <c r="C399">
        <v>1</v>
      </c>
      <c r="D399" t="s">
        <v>313</v>
      </c>
      <c r="E399" t="s">
        <v>31</v>
      </c>
      <c r="F399" t="s">
        <v>60</v>
      </c>
      <c r="G399">
        <f t="shared" si="27"/>
        <v>1</v>
      </c>
      <c r="H399">
        <v>0</v>
      </c>
      <c r="I399">
        <f t="shared" si="50"/>
        <v>0</v>
      </c>
      <c r="J399">
        <f t="shared" si="51"/>
        <v>0</v>
      </c>
      <c r="K399">
        <f t="shared" si="52"/>
        <v>0</v>
      </c>
      <c r="L399">
        <v>0</v>
      </c>
      <c r="M399">
        <f t="shared" si="53"/>
        <v>0</v>
      </c>
      <c r="N399">
        <f t="shared" si="54"/>
        <v>0</v>
      </c>
      <c r="O399">
        <f t="shared" si="55"/>
        <v>0</v>
      </c>
      <c r="P399">
        <v>0</v>
      </c>
      <c r="Q399">
        <f t="shared" si="56"/>
        <v>0</v>
      </c>
      <c r="R399">
        <f t="shared" si="57"/>
        <v>0</v>
      </c>
      <c r="S399">
        <v>0</v>
      </c>
      <c r="T399">
        <v>0</v>
      </c>
      <c r="U399">
        <v>0</v>
      </c>
      <c r="V399">
        <v>90</v>
      </c>
    </row>
    <row r="400" spans="1:22" x14ac:dyDescent="0.3">
      <c r="A400" t="s">
        <v>384</v>
      </c>
      <c r="B400" t="s">
        <v>446</v>
      </c>
      <c r="C400">
        <v>1</v>
      </c>
      <c r="D400" t="s">
        <v>316</v>
      </c>
      <c r="E400" t="s">
        <v>37</v>
      </c>
      <c r="F400" t="s">
        <v>60</v>
      </c>
      <c r="G400">
        <f t="shared" si="27"/>
        <v>1</v>
      </c>
      <c r="H400">
        <v>0</v>
      </c>
      <c r="I400">
        <f t="shared" si="50"/>
        <v>0</v>
      </c>
      <c r="J400">
        <f t="shared" si="51"/>
        <v>0</v>
      </c>
      <c r="K400">
        <f t="shared" si="52"/>
        <v>0</v>
      </c>
      <c r="L400">
        <v>0</v>
      </c>
      <c r="M400">
        <f t="shared" si="53"/>
        <v>0</v>
      </c>
      <c r="N400">
        <f t="shared" si="54"/>
        <v>0</v>
      </c>
      <c r="O400">
        <f t="shared" si="55"/>
        <v>0</v>
      </c>
      <c r="P400">
        <v>0</v>
      </c>
      <c r="Q400">
        <f t="shared" si="56"/>
        <v>0</v>
      </c>
      <c r="R400">
        <f t="shared" si="57"/>
        <v>0</v>
      </c>
      <c r="S400">
        <v>0</v>
      </c>
      <c r="T400">
        <v>0</v>
      </c>
      <c r="U400">
        <v>0</v>
      </c>
      <c r="V400">
        <v>90</v>
      </c>
    </row>
    <row r="401" spans="1:22" x14ac:dyDescent="0.3">
      <c r="A401" t="s">
        <v>447</v>
      </c>
      <c r="B401" t="s">
        <v>448</v>
      </c>
      <c r="C401">
        <v>75</v>
      </c>
      <c r="D401" t="s">
        <v>36</v>
      </c>
      <c r="E401" t="s">
        <v>37</v>
      </c>
      <c r="F401" t="s">
        <v>65</v>
      </c>
      <c r="G401">
        <f t="shared" si="27"/>
        <v>3</v>
      </c>
      <c r="H401">
        <v>923</v>
      </c>
      <c r="I401">
        <f>IF(OR(D401="QB", D401="RB", D401="WR", D401="TE", D401="DL", D401="LB", D401="CB", D401="S"), 1, 0)</f>
        <v>1</v>
      </c>
      <c r="J401">
        <v>0</v>
      </c>
      <c r="K401">
        <f>IF(OR(D401="QB", D401="RB"), 1, 0)</f>
        <v>1</v>
      </c>
      <c r="L401">
        <f>IF(OR(D401="DL", D401="LB", D401="CB", D401="S"), 1, 0)</f>
        <v>0</v>
      </c>
      <c r="M401">
        <v>0</v>
      </c>
      <c r="N401">
        <v>0</v>
      </c>
      <c r="O401">
        <v>0</v>
      </c>
      <c r="P401">
        <f>IF(OR(D401="WR", D401="TE"), 1, 0)</f>
        <v>0</v>
      </c>
      <c r="Q401">
        <f>IF(AND(D401="QB", OR(E401="FR", E401="SO", E401="FR (RS)", E401="SO (RS)")), 1, 0)</f>
        <v>0</v>
      </c>
      <c r="R401">
        <f>IF(AND(D401="QB", H401&gt;300), 1, 0)</f>
        <v>1</v>
      </c>
      <c r="S401">
        <v>0</v>
      </c>
      <c r="T401">
        <v>0</v>
      </c>
      <c r="U401">
        <v>0</v>
      </c>
      <c r="V401">
        <v>0</v>
      </c>
    </row>
    <row r="402" spans="1:22" x14ac:dyDescent="0.3">
      <c r="A402" t="s">
        <v>447</v>
      </c>
      <c r="B402" t="s">
        <v>449</v>
      </c>
      <c r="C402">
        <v>33</v>
      </c>
      <c r="D402" t="s">
        <v>36</v>
      </c>
      <c r="E402" t="s">
        <v>34</v>
      </c>
      <c r="F402" t="s">
        <v>60</v>
      </c>
      <c r="G402">
        <f t="shared" si="27"/>
        <v>1</v>
      </c>
      <c r="H402">
        <v>0</v>
      </c>
      <c r="I402">
        <f t="shared" ref="I402:I465" si="58">IF(OR(D402="QB", D402="RB", D402="WR", D402="TE", D402="DL", D402="LB", D402="CB", D402="S"), 1, 0)</f>
        <v>1</v>
      </c>
      <c r="J402">
        <v>0</v>
      </c>
      <c r="K402">
        <f t="shared" ref="K402:K465" si="59">IF(OR(D402="QB", D402="RB"), 1, 0)</f>
        <v>1</v>
      </c>
      <c r="L402">
        <f t="shared" ref="L402:L465" si="60">IF(OR(D402="DL", D402="LB", D402="CB", D402="S"), 1, 0)</f>
        <v>0</v>
      </c>
      <c r="M402">
        <v>0</v>
      </c>
      <c r="N402">
        <v>0</v>
      </c>
      <c r="O402">
        <v>0</v>
      </c>
      <c r="P402">
        <f t="shared" ref="P402:P465" si="61">IF(OR(D402="WR", D402="TE"), 1, 0)</f>
        <v>0</v>
      </c>
      <c r="Q402">
        <f t="shared" ref="Q402:Q465" si="62">IF(AND(D402="QB", OR(E402="FR", E402="SO", E402="FR (RS)", E402="SO (RS)")), 1, 0)</f>
        <v>1</v>
      </c>
      <c r="R402">
        <f t="shared" ref="R402:R465" si="63">IF(AND(D402="QB", H402&gt;300), 1, 0)</f>
        <v>0</v>
      </c>
      <c r="S402">
        <v>0</v>
      </c>
      <c r="T402">
        <v>0</v>
      </c>
      <c r="U402">
        <v>0</v>
      </c>
      <c r="V402">
        <v>0</v>
      </c>
    </row>
    <row r="403" spans="1:22" x14ac:dyDescent="0.3">
      <c r="A403" t="s">
        <v>447</v>
      </c>
      <c r="B403" t="s">
        <v>450</v>
      </c>
      <c r="C403">
        <v>71</v>
      </c>
      <c r="D403" t="s">
        <v>36</v>
      </c>
      <c r="E403" t="s">
        <v>31</v>
      </c>
      <c r="F403" t="s">
        <v>65</v>
      </c>
      <c r="G403">
        <f t="shared" si="27"/>
        <v>3</v>
      </c>
      <c r="H403">
        <v>0</v>
      </c>
      <c r="I403">
        <f t="shared" si="58"/>
        <v>1</v>
      </c>
      <c r="J403">
        <v>0</v>
      </c>
      <c r="K403">
        <f t="shared" si="59"/>
        <v>1</v>
      </c>
      <c r="L403">
        <f t="shared" si="60"/>
        <v>0</v>
      </c>
      <c r="M403">
        <v>0</v>
      </c>
      <c r="N403">
        <v>0</v>
      </c>
      <c r="O403">
        <v>0</v>
      </c>
      <c r="P403">
        <f t="shared" si="61"/>
        <v>0</v>
      </c>
      <c r="Q403">
        <f t="shared" si="62"/>
        <v>1</v>
      </c>
      <c r="R403">
        <f t="shared" si="63"/>
        <v>0</v>
      </c>
      <c r="S403">
        <v>0</v>
      </c>
      <c r="T403">
        <v>0</v>
      </c>
      <c r="U403">
        <v>0</v>
      </c>
      <c r="V403">
        <v>0</v>
      </c>
    </row>
    <row r="404" spans="1:22" x14ac:dyDescent="0.3">
      <c r="A404" t="s">
        <v>447</v>
      </c>
      <c r="B404" t="s">
        <v>451</v>
      </c>
      <c r="C404">
        <v>58</v>
      </c>
      <c r="D404" t="s">
        <v>24</v>
      </c>
      <c r="E404" t="s">
        <v>28</v>
      </c>
      <c r="F404" t="s">
        <v>65</v>
      </c>
      <c r="G404">
        <f t="shared" si="27"/>
        <v>3</v>
      </c>
      <c r="H404">
        <v>623</v>
      </c>
      <c r="I404">
        <f t="shared" si="58"/>
        <v>1</v>
      </c>
      <c r="J404">
        <v>0</v>
      </c>
      <c r="K404">
        <f t="shared" si="59"/>
        <v>1</v>
      </c>
      <c r="L404">
        <f t="shared" si="60"/>
        <v>0</v>
      </c>
      <c r="M404">
        <v>0</v>
      </c>
      <c r="N404">
        <v>0</v>
      </c>
      <c r="O404">
        <v>0</v>
      </c>
      <c r="P404">
        <f t="shared" si="61"/>
        <v>0</v>
      </c>
      <c r="Q404">
        <f t="shared" si="62"/>
        <v>0</v>
      </c>
      <c r="R404">
        <f t="shared" si="63"/>
        <v>0</v>
      </c>
      <c r="S404">
        <v>0</v>
      </c>
      <c r="T404">
        <v>0</v>
      </c>
      <c r="U404">
        <v>0</v>
      </c>
      <c r="V404">
        <v>0</v>
      </c>
    </row>
    <row r="405" spans="1:22" x14ac:dyDescent="0.3">
      <c r="A405" t="s">
        <v>447</v>
      </c>
      <c r="B405" t="s">
        <v>452</v>
      </c>
      <c r="C405">
        <v>46</v>
      </c>
      <c r="D405" t="s">
        <v>24</v>
      </c>
      <c r="E405" t="s">
        <v>41</v>
      </c>
      <c r="F405" t="s">
        <v>65</v>
      </c>
      <c r="G405">
        <f t="shared" si="27"/>
        <v>3</v>
      </c>
      <c r="H405">
        <v>14</v>
      </c>
      <c r="I405">
        <f t="shared" si="58"/>
        <v>1</v>
      </c>
      <c r="J405">
        <v>0</v>
      </c>
      <c r="K405">
        <f t="shared" si="59"/>
        <v>1</v>
      </c>
      <c r="L405">
        <f t="shared" si="60"/>
        <v>0</v>
      </c>
      <c r="M405">
        <v>0</v>
      </c>
      <c r="N405">
        <v>0</v>
      </c>
      <c r="O405">
        <v>0</v>
      </c>
      <c r="P405">
        <f t="shared" si="61"/>
        <v>0</v>
      </c>
      <c r="Q405">
        <f t="shared" si="62"/>
        <v>0</v>
      </c>
      <c r="R405">
        <f t="shared" si="63"/>
        <v>0</v>
      </c>
      <c r="S405">
        <v>0</v>
      </c>
      <c r="T405">
        <v>0</v>
      </c>
      <c r="U405">
        <v>0</v>
      </c>
      <c r="V405">
        <v>0</v>
      </c>
    </row>
    <row r="406" spans="1:22" x14ac:dyDescent="0.3">
      <c r="A406" t="s">
        <v>447</v>
      </c>
      <c r="B406" t="s">
        <v>453</v>
      </c>
      <c r="C406">
        <v>39</v>
      </c>
      <c r="D406" t="s">
        <v>454</v>
      </c>
      <c r="E406" t="s">
        <v>34</v>
      </c>
      <c r="F406" t="s">
        <v>38</v>
      </c>
      <c r="G406">
        <f t="shared" si="27"/>
        <v>2</v>
      </c>
      <c r="H406">
        <v>66</v>
      </c>
      <c r="I406">
        <f t="shared" si="58"/>
        <v>0</v>
      </c>
      <c r="J406">
        <v>0</v>
      </c>
      <c r="K406">
        <f t="shared" si="59"/>
        <v>0</v>
      </c>
      <c r="L406">
        <f t="shared" si="60"/>
        <v>0</v>
      </c>
      <c r="M406">
        <v>0</v>
      </c>
      <c r="N406">
        <v>0</v>
      </c>
      <c r="O406">
        <v>0</v>
      </c>
      <c r="P406">
        <f t="shared" si="61"/>
        <v>0</v>
      </c>
      <c r="Q406">
        <f t="shared" si="62"/>
        <v>0</v>
      </c>
      <c r="R406">
        <f t="shared" si="63"/>
        <v>0</v>
      </c>
      <c r="S406">
        <v>0</v>
      </c>
      <c r="T406">
        <v>0</v>
      </c>
      <c r="U406">
        <v>0</v>
      </c>
      <c r="V406">
        <v>0</v>
      </c>
    </row>
    <row r="407" spans="1:22" x14ac:dyDescent="0.3">
      <c r="A407" t="s">
        <v>447</v>
      </c>
      <c r="B407" t="s">
        <v>455</v>
      </c>
      <c r="C407">
        <v>40</v>
      </c>
      <c r="D407" t="s">
        <v>24</v>
      </c>
      <c r="E407" t="s">
        <v>31</v>
      </c>
      <c r="F407" t="s">
        <v>38</v>
      </c>
      <c r="G407">
        <f t="shared" si="27"/>
        <v>2</v>
      </c>
      <c r="H407">
        <v>0</v>
      </c>
      <c r="I407">
        <f t="shared" si="58"/>
        <v>1</v>
      </c>
      <c r="J407">
        <v>0</v>
      </c>
      <c r="K407">
        <f t="shared" si="59"/>
        <v>1</v>
      </c>
      <c r="L407">
        <f t="shared" si="60"/>
        <v>0</v>
      </c>
      <c r="M407">
        <v>0</v>
      </c>
      <c r="N407">
        <v>0</v>
      </c>
      <c r="O407">
        <v>0</v>
      </c>
      <c r="P407">
        <f t="shared" si="61"/>
        <v>0</v>
      </c>
      <c r="Q407">
        <f t="shared" si="62"/>
        <v>0</v>
      </c>
      <c r="R407">
        <f t="shared" si="63"/>
        <v>0</v>
      </c>
      <c r="S407">
        <v>0</v>
      </c>
      <c r="T407">
        <v>0</v>
      </c>
      <c r="U407">
        <v>0</v>
      </c>
      <c r="V407">
        <v>0</v>
      </c>
    </row>
    <row r="408" spans="1:22" x14ac:dyDescent="0.3">
      <c r="A408" t="s">
        <v>447</v>
      </c>
      <c r="B408" t="s">
        <v>456</v>
      </c>
      <c r="C408">
        <v>72</v>
      </c>
      <c r="D408" t="s">
        <v>43</v>
      </c>
      <c r="E408" t="s">
        <v>25</v>
      </c>
      <c r="F408" t="s">
        <v>65</v>
      </c>
      <c r="G408">
        <f t="shared" si="27"/>
        <v>3</v>
      </c>
      <c r="H408">
        <v>974</v>
      </c>
      <c r="I408">
        <f t="shared" si="58"/>
        <v>1</v>
      </c>
      <c r="J408">
        <v>0</v>
      </c>
      <c r="K408">
        <f t="shared" si="59"/>
        <v>0</v>
      </c>
      <c r="L408">
        <f t="shared" si="60"/>
        <v>0</v>
      </c>
      <c r="M408">
        <v>0</v>
      </c>
      <c r="N408">
        <v>0</v>
      </c>
      <c r="O408">
        <v>0</v>
      </c>
      <c r="P408">
        <f t="shared" si="61"/>
        <v>1</v>
      </c>
      <c r="Q408">
        <f t="shared" si="62"/>
        <v>0</v>
      </c>
      <c r="R408">
        <f t="shared" si="63"/>
        <v>0</v>
      </c>
      <c r="S408">
        <v>0</v>
      </c>
      <c r="T408">
        <v>0</v>
      </c>
      <c r="U408">
        <v>0</v>
      </c>
      <c r="V408">
        <v>0</v>
      </c>
    </row>
    <row r="409" spans="1:22" x14ac:dyDescent="0.3">
      <c r="A409" t="s">
        <v>447</v>
      </c>
      <c r="B409" t="s">
        <v>457</v>
      </c>
      <c r="C409">
        <v>43</v>
      </c>
      <c r="D409" t="s">
        <v>43</v>
      </c>
      <c r="E409" t="s">
        <v>25</v>
      </c>
      <c r="F409" t="s">
        <v>38</v>
      </c>
      <c r="G409">
        <f t="shared" si="27"/>
        <v>2</v>
      </c>
      <c r="H409">
        <v>93</v>
      </c>
      <c r="I409">
        <f t="shared" si="58"/>
        <v>1</v>
      </c>
      <c r="J409">
        <v>0</v>
      </c>
      <c r="K409">
        <f t="shared" si="59"/>
        <v>0</v>
      </c>
      <c r="L409">
        <f t="shared" si="60"/>
        <v>0</v>
      </c>
      <c r="M409">
        <v>0</v>
      </c>
      <c r="N409">
        <v>0</v>
      </c>
      <c r="O409">
        <v>0</v>
      </c>
      <c r="P409">
        <f t="shared" si="61"/>
        <v>1</v>
      </c>
      <c r="Q409">
        <f t="shared" si="62"/>
        <v>0</v>
      </c>
      <c r="R409">
        <f t="shared" si="63"/>
        <v>0</v>
      </c>
      <c r="S409">
        <v>0</v>
      </c>
      <c r="T409">
        <v>0</v>
      </c>
      <c r="U409">
        <v>0</v>
      </c>
      <c r="V409">
        <v>0</v>
      </c>
    </row>
    <row r="410" spans="1:22" x14ac:dyDescent="0.3">
      <c r="A410" t="s">
        <v>447</v>
      </c>
      <c r="B410" t="s">
        <v>458</v>
      </c>
      <c r="C410">
        <v>43</v>
      </c>
      <c r="D410" t="s">
        <v>40</v>
      </c>
      <c r="E410" t="s">
        <v>25</v>
      </c>
      <c r="F410" t="s">
        <v>65</v>
      </c>
      <c r="G410">
        <f t="shared" si="27"/>
        <v>3</v>
      </c>
      <c r="H410">
        <v>367</v>
      </c>
      <c r="I410">
        <f t="shared" si="58"/>
        <v>1</v>
      </c>
      <c r="J410">
        <v>0</v>
      </c>
      <c r="K410">
        <f t="shared" si="59"/>
        <v>0</v>
      </c>
      <c r="L410">
        <f t="shared" si="60"/>
        <v>0</v>
      </c>
      <c r="M410">
        <v>0</v>
      </c>
      <c r="N410">
        <v>0</v>
      </c>
      <c r="O410">
        <v>0</v>
      </c>
      <c r="P410">
        <f t="shared" si="61"/>
        <v>1</v>
      </c>
      <c r="Q410">
        <f t="shared" si="62"/>
        <v>0</v>
      </c>
      <c r="R410">
        <f t="shared" si="63"/>
        <v>0</v>
      </c>
      <c r="S410">
        <v>0</v>
      </c>
      <c r="T410">
        <v>0</v>
      </c>
      <c r="U410">
        <v>0</v>
      </c>
      <c r="V410">
        <v>0</v>
      </c>
    </row>
    <row r="411" spans="1:22" x14ac:dyDescent="0.3">
      <c r="A411" t="s">
        <v>447</v>
      </c>
      <c r="B411" t="s">
        <v>459</v>
      </c>
      <c r="C411">
        <v>17</v>
      </c>
      <c r="D411" t="s">
        <v>24</v>
      </c>
      <c r="E411" t="s">
        <v>41</v>
      </c>
      <c r="F411" t="s">
        <v>60</v>
      </c>
      <c r="G411">
        <f t="shared" si="27"/>
        <v>1</v>
      </c>
      <c r="H411">
        <v>103</v>
      </c>
      <c r="I411">
        <f t="shared" si="58"/>
        <v>1</v>
      </c>
      <c r="J411">
        <v>0</v>
      </c>
      <c r="K411">
        <f t="shared" si="59"/>
        <v>1</v>
      </c>
      <c r="L411">
        <f t="shared" si="60"/>
        <v>0</v>
      </c>
      <c r="M411">
        <v>0</v>
      </c>
      <c r="N411">
        <v>0</v>
      </c>
      <c r="O411">
        <v>0</v>
      </c>
      <c r="P411">
        <f t="shared" si="61"/>
        <v>0</v>
      </c>
      <c r="Q411">
        <f t="shared" si="62"/>
        <v>0</v>
      </c>
      <c r="R411">
        <f t="shared" si="63"/>
        <v>0</v>
      </c>
      <c r="S411">
        <v>0</v>
      </c>
      <c r="T411">
        <v>0</v>
      </c>
      <c r="U411">
        <v>0</v>
      </c>
      <c r="V411">
        <v>0</v>
      </c>
    </row>
    <row r="412" spans="1:22" x14ac:dyDescent="0.3">
      <c r="A412" t="s">
        <v>447</v>
      </c>
      <c r="B412" t="s">
        <v>460</v>
      </c>
      <c r="C412">
        <v>47</v>
      </c>
      <c r="D412" t="s">
        <v>40</v>
      </c>
      <c r="E412" t="s">
        <v>31</v>
      </c>
      <c r="F412" t="s">
        <v>65</v>
      </c>
      <c r="G412">
        <f t="shared" si="27"/>
        <v>3</v>
      </c>
      <c r="H412">
        <v>0</v>
      </c>
      <c r="I412">
        <f t="shared" si="58"/>
        <v>1</v>
      </c>
      <c r="J412">
        <v>0</v>
      </c>
      <c r="K412">
        <f t="shared" si="59"/>
        <v>0</v>
      </c>
      <c r="L412">
        <f t="shared" si="60"/>
        <v>0</v>
      </c>
      <c r="M412">
        <v>0</v>
      </c>
      <c r="N412">
        <v>0</v>
      </c>
      <c r="O412">
        <v>0</v>
      </c>
      <c r="P412">
        <f t="shared" si="61"/>
        <v>1</v>
      </c>
      <c r="Q412">
        <f t="shared" si="62"/>
        <v>0</v>
      </c>
      <c r="R412">
        <f t="shared" si="63"/>
        <v>0</v>
      </c>
      <c r="S412">
        <v>0</v>
      </c>
      <c r="T412">
        <v>0</v>
      </c>
      <c r="U412">
        <v>0</v>
      </c>
      <c r="V412">
        <v>0</v>
      </c>
    </row>
    <row r="413" spans="1:22" x14ac:dyDescent="0.3">
      <c r="A413" t="s">
        <v>447</v>
      </c>
      <c r="B413" t="s">
        <v>461</v>
      </c>
      <c r="C413">
        <v>72</v>
      </c>
      <c r="D413" t="s">
        <v>43</v>
      </c>
      <c r="E413" t="s">
        <v>34</v>
      </c>
      <c r="F413" t="s">
        <v>65</v>
      </c>
      <c r="G413">
        <f t="shared" si="27"/>
        <v>3</v>
      </c>
      <c r="H413">
        <v>0</v>
      </c>
      <c r="I413">
        <f t="shared" si="58"/>
        <v>1</v>
      </c>
      <c r="J413">
        <v>0</v>
      </c>
      <c r="K413">
        <f t="shared" si="59"/>
        <v>0</v>
      </c>
      <c r="L413">
        <f t="shared" si="60"/>
        <v>0</v>
      </c>
      <c r="M413">
        <v>0</v>
      </c>
      <c r="N413">
        <v>0</v>
      </c>
      <c r="O413">
        <v>0</v>
      </c>
      <c r="P413">
        <f t="shared" si="61"/>
        <v>1</v>
      </c>
      <c r="Q413">
        <f t="shared" si="62"/>
        <v>0</v>
      </c>
      <c r="R413">
        <f t="shared" si="63"/>
        <v>0</v>
      </c>
      <c r="S413">
        <v>0</v>
      </c>
      <c r="T413">
        <v>0</v>
      </c>
      <c r="U413">
        <v>0</v>
      </c>
      <c r="V413">
        <v>0</v>
      </c>
    </row>
    <row r="414" spans="1:22" x14ac:dyDescent="0.3">
      <c r="A414" t="s">
        <v>447</v>
      </c>
      <c r="B414" t="s">
        <v>462</v>
      </c>
      <c r="C414">
        <v>45</v>
      </c>
      <c r="D414" t="s">
        <v>43</v>
      </c>
      <c r="E414" t="s">
        <v>34</v>
      </c>
      <c r="F414" t="s">
        <v>38</v>
      </c>
      <c r="G414">
        <f t="shared" si="27"/>
        <v>2</v>
      </c>
      <c r="H414">
        <v>0</v>
      </c>
      <c r="I414">
        <f t="shared" si="58"/>
        <v>1</v>
      </c>
      <c r="J414">
        <v>0</v>
      </c>
      <c r="K414">
        <f t="shared" si="59"/>
        <v>0</v>
      </c>
      <c r="L414">
        <f t="shared" si="60"/>
        <v>0</v>
      </c>
      <c r="M414">
        <v>0</v>
      </c>
      <c r="N414">
        <v>0</v>
      </c>
      <c r="O414">
        <v>0</v>
      </c>
      <c r="P414">
        <f t="shared" si="61"/>
        <v>1</v>
      </c>
      <c r="Q414">
        <f t="shared" si="62"/>
        <v>0</v>
      </c>
      <c r="R414">
        <f t="shared" si="63"/>
        <v>0</v>
      </c>
      <c r="S414">
        <v>0</v>
      </c>
      <c r="T414">
        <v>0</v>
      </c>
      <c r="U414">
        <v>0</v>
      </c>
      <c r="V414">
        <v>0</v>
      </c>
    </row>
    <row r="415" spans="1:22" x14ac:dyDescent="0.3">
      <c r="A415" t="s">
        <v>447</v>
      </c>
      <c r="B415" t="s">
        <v>463</v>
      </c>
      <c r="C415">
        <v>46</v>
      </c>
      <c r="D415" t="s">
        <v>43</v>
      </c>
      <c r="E415" t="s">
        <v>31</v>
      </c>
      <c r="F415" t="s">
        <v>38</v>
      </c>
      <c r="G415">
        <f t="shared" si="27"/>
        <v>2</v>
      </c>
      <c r="H415">
        <v>0</v>
      </c>
      <c r="I415">
        <f t="shared" si="58"/>
        <v>1</v>
      </c>
      <c r="J415">
        <v>0</v>
      </c>
      <c r="K415">
        <f t="shared" si="59"/>
        <v>0</v>
      </c>
      <c r="L415">
        <f t="shared" si="60"/>
        <v>0</v>
      </c>
      <c r="M415">
        <v>0</v>
      </c>
      <c r="N415">
        <v>0</v>
      </c>
      <c r="O415">
        <v>0</v>
      </c>
      <c r="P415">
        <f t="shared" si="61"/>
        <v>1</v>
      </c>
      <c r="Q415">
        <f t="shared" si="62"/>
        <v>0</v>
      </c>
      <c r="R415">
        <f t="shared" si="63"/>
        <v>0</v>
      </c>
      <c r="S415">
        <v>0</v>
      </c>
      <c r="T415">
        <v>0</v>
      </c>
      <c r="U415">
        <v>0</v>
      </c>
      <c r="V415">
        <v>0</v>
      </c>
    </row>
    <row r="416" spans="1:22" x14ac:dyDescent="0.3">
      <c r="A416" t="s">
        <v>447</v>
      </c>
      <c r="B416" t="s">
        <v>464</v>
      </c>
      <c r="C416">
        <v>53</v>
      </c>
      <c r="D416" t="s">
        <v>43</v>
      </c>
      <c r="E416" t="s">
        <v>34</v>
      </c>
      <c r="F416" t="s">
        <v>38</v>
      </c>
      <c r="G416">
        <f t="shared" si="27"/>
        <v>2</v>
      </c>
      <c r="H416">
        <v>0</v>
      </c>
      <c r="I416">
        <f t="shared" si="58"/>
        <v>1</v>
      </c>
      <c r="J416">
        <v>0</v>
      </c>
      <c r="K416">
        <f t="shared" si="59"/>
        <v>0</v>
      </c>
      <c r="L416">
        <f t="shared" si="60"/>
        <v>0</v>
      </c>
      <c r="M416">
        <v>0</v>
      </c>
      <c r="N416">
        <v>0</v>
      </c>
      <c r="O416">
        <v>0</v>
      </c>
      <c r="P416">
        <f t="shared" si="61"/>
        <v>1</v>
      </c>
      <c r="Q416">
        <f t="shared" si="62"/>
        <v>0</v>
      </c>
      <c r="R416">
        <f t="shared" si="63"/>
        <v>0</v>
      </c>
      <c r="S416">
        <v>0</v>
      </c>
      <c r="T416">
        <v>0</v>
      </c>
      <c r="U416">
        <v>0</v>
      </c>
      <c r="V416">
        <v>0</v>
      </c>
    </row>
    <row r="417" spans="1:22" x14ac:dyDescent="0.3">
      <c r="A417" t="s">
        <v>447</v>
      </c>
      <c r="B417" t="s">
        <v>465</v>
      </c>
      <c r="C417">
        <v>51</v>
      </c>
      <c r="D417" t="s">
        <v>40</v>
      </c>
      <c r="E417" t="s">
        <v>34</v>
      </c>
      <c r="F417" t="s">
        <v>65</v>
      </c>
      <c r="G417">
        <f t="shared" si="27"/>
        <v>3</v>
      </c>
      <c r="H417">
        <v>0</v>
      </c>
      <c r="I417">
        <f t="shared" si="58"/>
        <v>1</v>
      </c>
      <c r="J417">
        <v>0</v>
      </c>
      <c r="K417">
        <f t="shared" si="59"/>
        <v>0</v>
      </c>
      <c r="L417">
        <f t="shared" si="60"/>
        <v>0</v>
      </c>
      <c r="M417">
        <v>0</v>
      </c>
      <c r="N417">
        <v>0</v>
      </c>
      <c r="O417">
        <v>0</v>
      </c>
      <c r="P417">
        <f t="shared" si="61"/>
        <v>1</v>
      </c>
      <c r="Q417">
        <f t="shared" si="62"/>
        <v>0</v>
      </c>
      <c r="R417">
        <f t="shared" si="63"/>
        <v>0</v>
      </c>
      <c r="S417">
        <v>0</v>
      </c>
      <c r="T417">
        <v>0</v>
      </c>
      <c r="U417">
        <v>0</v>
      </c>
      <c r="V417">
        <v>0</v>
      </c>
    </row>
    <row r="418" spans="1:22" x14ac:dyDescent="0.3">
      <c r="A418" t="s">
        <v>447</v>
      </c>
      <c r="B418" t="s">
        <v>466</v>
      </c>
      <c r="C418">
        <v>42</v>
      </c>
      <c r="D418" t="s">
        <v>46</v>
      </c>
      <c r="E418" t="s">
        <v>31</v>
      </c>
      <c r="F418" t="s">
        <v>38</v>
      </c>
      <c r="G418">
        <f t="shared" si="27"/>
        <v>2</v>
      </c>
      <c r="H418">
        <v>0</v>
      </c>
      <c r="I418">
        <f t="shared" si="58"/>
        <v>0</v>
      </c>
      <c r="J418">
        <v>0</v>
      </c>
      <c r="K418">
        <f t="shared" si="59"/>
        <v>0</v>
      </c>
      <c r="L418">
        <f t="shared" si="60"/>
        <v>0</v>
      </c>
      <c r="M418">
        <v>0</v>
      </c>
      <c r="N418">
        <v>0</v>
      </c>
      <c r="O418">
        <v>0</v>
      </c>
      <c r="P418">
        <f t="shared" si="61"/>
        <v>0</v>
      </c>
      <c r="Q418">
        <f t="shared" si="62"/>
        <v>0</v>
      </c>
      <c r="R418">
        <f t="shared" si="63"/>
        <v>0</v>
      </c>
      <c r="S418">
        <v>0</v>
      </c>
      <c r="T418">
        <v>0</v>
      </c>
      <c r="U418">
        <v>0</v>
      </c>
      <c r="V418">
        <v>0</v>
      </c>
    </row>
    <row r="419" spans="1:22" x14ac:dyDescent="0.3">
      <c r="A419" t="s">
        <v>447</v>
      </c>
      <c r="B419" t="s">
        <v>467</v>
      </c>
      <c r="C419">
        <v>40</v>
      </c>
      <c r="D419" t="s">
        <v>46</v>
      </c>
      <c r="E419" t="s">
        <v>31</v>
      </c>
      <c r="F419" t="s">
        <v>38</v>
      </c>
      <c r="G419">
        <f t="shared" si="27"/>
        <v>2</v>
      </c>
      <c r="H419">
        <v>0</v>
      </c>
      <c r="I419">
        <f t="shared" si="58"/>
        <v>0</v>
      </c>
      <c r="J419">
        <v>0</v>
      </c>
      <c r="K419">
        <f t="shared" si="59"/>
        <v>0</v>
      </c>
      <c r="L419">
        <f t="shared" si="60"/>
        <v>0</v>
      </c>
      <c r="M419">
        <v>0</v>
      </c>
      <c r="N419">
        <v>0</v>
      </c>
      <c r="O419">
        <v>0</v>
      </c>
      <c r="P419">
        <f t="shared" si="61"/>
        <v>0</v>
      </c>
      <c r="Q419">
        <f t="shared" si="62"/>
        <v>0</v>
      </c>
      <c r="R419">
        <f t="shared" si="63"/>
        <v>0</v>
      </c>
      <c r="S419">
        <v>0</v>
      </c>
      <c r="T419">
        <v>0</v>
      </c>
      <c r="U419">
        <v>0</v>
      </c>
      <c r="V419">
        <v>0</v>
      </c>
    </row>
    <row r="420" spans="1:22" x14ac:dyDescent="0.3">
      <c r="A420" t="s">
        <v>447</v>
      </c>
      <c r="B420" t="s">
        <v>468</v>
      </c>
      <c r="C420">
        <v>72</v>
      </c>
      <c r="D420" t="s">
        <v>46</v>
      </c>
      <c r="E420" t="s">
        <v>34</v>
      </c>
      <c r="F420" t="s">
        <v>65</v>
      </c>
      <c r="G420">
        <f t="shared" si="27"/>
        <v>3</v>
      </c>
      <c r="H420">
        <v>0</v>
      </c>
      <c r="I420">
        <f t="shared" si="58"/>
        <v>0</v>
      </c>
      <c r="J420">
        <v>0</v>
      </c>
      <c r="K420">
        <f t="shared" si="59"/>
        <v>0</v>
      </c>
      <c r="L420">
        <f t="shared" si="60"/>
        <v>0</v>
      </c>
      <c r="M420">
        <v>0</v>
      </c>
      <c r="N420">
        <v>0</v>
      </c>
      <c r="O420">
        <v>0</v>
      </c>
      <c r="P420">
        <f t="shared" si="61"/>
        <v>0</v>
      </c>
      <c r="Q420">
        <f t="shared" si="62"/>
        <v>0</v>
      </c>
      <c r="R420">
        <f t="shared" si="63"/>
        <v>0</v>
      </c>
      <c r="S420">
        <v>0</v>
      </c>
      <c r="T420">
        <v>0</v>
      </c>
      <c r="U420">
        <v>0</v>
      </c>
      <c r="V420">
        <v>0</v>
      </c>
    </row>
    <row r="421" spans="1:22" x14ac:dyDescent="0.3">
      <c r="A421" t="s">
        <v>447</v>
      </c>
      <c r="B421" t="s">
        <v>469</v>
      </c>
      <c r="C421">
        <v>26</v>
      </c>
      <c r="D421" t="s">
        <v>46</v>
      </c>
      <c r="E421" t="s">
        <v>31</v>
      </c>
      <c r="F421" t="s">
        <v>60</v>
      </c>
      <c r="G421">
        <f t="shared" si="27"/>
        <v>1</v>
      </c>
      <c r="H421">
        <v>0</v>
      </c>
      <c r="I421">
        <f t="shared" si="58"/>
        <v>0</v>
      </c>
      <c r="J421">
        <v>0</v>
      </c>
      <c r="K421">
        <f t="shared" si="59"/>
        <v>0</v>
      </c>
      <c r="L421">
        <f t="shared" si="60"/>
        <v>0</v>
      </c>
      <c r="M421">
        <v>0</v>
      </c>
      <c r="N421">
        <v>0</v>
      </c>
      <c r="O421">
        <v>0</v>
      </c>
      <c r="P421">
        <f t="shared" si="61"/>
        <v>0</v>
      </c>
      <c r="Q421">
        <f t="shared" si="62"/>
        <v>0</v>
      </c>
      <c r="R421">
        <f t="shared" si="63"/>
        <v>0</v>
      </c>
      <c r="S421">
        <v>0</v>
      </c>
      <c r="T421">
        <v>0</v>
      </c>
      <c r="U421">
        <v>0</v>
      </c>
      <c r="V421">
        <v>0</v>
      </c>
    </row>
    <row r="422" spans="1:22" x14ac:dyDescent="0.3">
      <c r="A422" t="s">
        <v>447</v>
      </c>
      <c r="B422" t="s">
        <v>470</v>
      </c>
      <c r="C422">
        <v>64</v>
      </c>
      <c r="D422" t="s">
        <v>46</v>
      </c>
      <c r="E422" t="s">
        <v>41</v>
      </c>
      <c r="F422" t="s">
        <v>65</v>
      </c>
      <c r="G422">
        <f t="shared" si="27"/>
        <v>3</v>
      </c>
      <c r="H422">
        <v>0</v>
      </c>
      <c r="I422">
        <f t="shared" si="58"/>
        <v>0</v>
      </c>
      <c r="J422">
        <v>0</v>
      </c>
      <c r="K422">
        <f t="shared" si="59"/>
        <v>0</v>
      </c>
      <c r="L422">
        <f t="shared" si="60"/>
        <v>0</v>
      </c>
      <c r="M422">
        <v>0</v>
      </c>
      <c r="N422">
        <v>0</v>
      </c>
      <c r="O422">
        <v>0</v>
      </c>
      <c r="P422">
        <f t="shared" si="61"/>
        <v>0</v>
      </c>
      <c r="Q422">
        <f t="shared" si="62"/>
        <v>0</v>
      </c>
      <c r="R422">
        <f t="shared" si="63"/>
        <v>0</v>
      </c>
      <c r="S422">
        <v>0</v>
      </c>
      <c r="T422">
        <v>0</v>
      </c>
      <c r="U422">
        <v>0</v>
      </c>
      <c r="V422">
        <v>0</v>
      </c>
    </row>
    <row r="423" spans="1:22" x14ac:dyDescent="0.3">
      <c r="A423" t="s">
        <v>447</v>
      </c>
      <c r="B423" t="s">
        <v>471</v>
      </c>
      <c r="C423">
        <v>41</v>
      </c>
      <c r="D423" t="s">
        <v>46</v>
      </c>
      <c r="E423" t="s">
        <v>41</v>
      </c>
      <c r="F423" t="s">
        <v>38</v>
      </c>
      <c r="G423">
        <f t="shared" si="27"/>
        <v>2</v>
      </c>
      <c r="H423">
        <v>0</v>
      </c>
      <c r="I423">
        <f t="shared" si="58"/>
        <v>0</v>
      </c>
      <c r="J423">
        <v>0</v>
      </c>
      <c r="K423">
        <f t="shared" si="59"/>
        <v>0</v>
      </c>
      <c r="L423">
        <f t="shared" si="60"/>
        <v>0</v>
      </c>
      <c r="M423">
        <v>0</v>
      </c>
      <c r="N423">
        <v>0</v>
      </c>
      <c r="O423">
        <v>0</v>
      </c>
      <c r="P423">
        <f t="shared" si="61"/>
        <v>0</v>
      </c>
      <c r="Q423">
        <f t="shared" si="62"/>
        <v>0</v>
      </c>
      <c r="R423">
        <f t="shared" si="63"/>
        <v>0</v>
      </c>
      <c r="S423">
        <v>0</v>
      </c>
      <c r="T423">
        <v>0</v>
      </c>
      <c r="U423">
        <v>0</v>
      </c>
      <c r="V423">
        <v>0</v>
      </c>
    </row>
    <row r="424" spans="1:22" x14ac:dyDescent="0.3">
      <c r="A424" t="s">
        <v>447</v>
      </c>
      <c r="B424" t="s">
        <v>472</v>
      </c>
      <c r="C424">
        <v>63</v>
      </c>
      <c r="D424" t="s">
        <v>46</v>
      </c>
      <c r="E424" t="s">
        <v>41</v>
      </c>
      <c r="F424" t="s">
        <v>65</v>
      </c>
      <c r="G424">
        <f t="shared" si="27"/>
        <v>3</v>
      </c>
      <c r="H424">
        <v>0</v>
      </c>
      <c r="I424">
        <f t="shared" si="58"/>
        <v>0</v>
      </c>
      <c r="J424">
        <v>0</v>
      </c>
      <c r="K424">
        <f t="shared" si="59"/>
        <v>0</v>
      </c>
      <c r="L424">
        <f t="shared" si="60"/>
        <v>0</v>
      </c>
      <c r="M424">
        <v>0</v>
      </c>
      <c r="N424">
        <v>0</v>
      </c>
      <c r="O424">
        <v>0</v>
      </c>
      <c r="P424">
        <f t="shared" si="61"/>
        <v>0</v>
      </c>
      <c r="Q424">
        <f t="shared" si="62"/>
        <v>0</v>
      </c>
      <c r="R424">
        <f t="shared" si="63"/>
        <v>0</v>
      </c>
      <c r="S424">
        <v>0</v>
      </c>
      <c r="T424">
        <v>0</v>
      </c>
      <c r="U424">
        <v>0</v>
      </c>
      <c r="V424">
        <v>0</v>
      </c>
    </row>
    <row r="425" spans="1:22" x14ac:dyDescent="0.3">
      <c r="A425" t="s">
        <v>447</v>
      </c>
      <c r="B425" t="s">
        <v>473</v>
      </c>
      <c r="C425">
        <v>48</v>
      </c>
      <c r="D425" t="s">
        <v>46</v>
      </c>
      <c r="E425" t="s">
        <v>34</v>
      </c>
      <c r="F425" t="s">
        <v>38</v>
      </c>
      <c r="G425">
        <f t="shared" si="27"/>
        <v>2</v>
      </c>
      <c r="H425">
        <v>0</v>
      </c>
      <c r="I425">
        <f t="shared" si="58"/>
        <v>0</v>
      </c>
      <c r="J425">
        <v>0</v>
      </c>
      <c r="K425">
        <f t="shared" si="59"/>
        <v>0</v>
      </c>
      <c r="L425">
        <f t="shared" si="60"/>
        <v>0</v>
      </c>
      <c r="M425">
        <v>0</v>
      </c>
      <c r="N425">
        <v>0</v>
      </c>
      <c r="O425">
        <v>0</v>
      </c>
      <c r="P425">
        <f t="shared" si="61"/>
        <v>0</v>
      </c>
      <c r="Q425">
        <f t="shared" si="62"/>
        <v>0</v>
      </c>
      <c r="R425">
        <f t="shared" si="63"/>
        <v>0</v>
      </c>
      <c r="S425">
        <v>0</v>
      </c>
      <c r="T425">
        <v>0</v>
      </c>
      <c r="U425">
        <v>0</v>
      </c>
      <c r="V425">
        <v>0</v>
      </c>
    </row>
    <row r="426" spans="1:22" x14ac:dyDescent="0.3">
      <c r="A426" t="s">
        <v>447</v>
      </c>
      <c r="B426" t="s">
        <v>474</v>
      </c>
      <c r="C426">
        <v>47</v>
      </c>
      <c r="D426" t="s">
        <v>46</v>
      </c>
      <c r="E426" t="s">
        <v>34</v>
      </c>
      <c r="F426" t="s">
        <v>38</v>
      </c>
      <c r="G426">
        <f t="shared" si="27"/>
        <v>2</v>
      </c>
      <c r="H426">
        <v>0</v>
      </c>
      <c r="I426">
        <f t="shared" si="58"/>
        <v>0</v>
      </c>
      <c r="J426">
        <v>0</v>
      </c>
      <c r="K426">
        <f t="shared" si="59"/>
        <v>0</v>
      </c>
      <c r="L426">
        <f t="shared" si="60"/>
        <v>0</v>
      </c>
      <c r="M426">
        <v>0</v>
      </c>
      <c r="N426">
        <v>0</v>
      </c>
      <c r="O426">
        <v>0</v>
      </c>
      <c r="P426">
        <f t="shared" si="61"/>
        <v>0</v>
      </c>
      <c r="Q426">
        <f t="shared" si="62"/>
        <v>0</v>
      </c>
      <c r="R426">
        <f t="shared" si="63"/>
        <v>0</v>
      </c>
      <c r="S426">
        <v>0</v>
      </c>
      <c r="T426">
        <v>0</v>
      </c>
      <c r="U426">
        <v>0</v>
      </c>
      <c r="V426">
        <v>0</v>
      </c>
    </row>
    <row r="427" spans="1:22" x14ac:dyDescent="0.3">
      <c r="A427" t="s">
        <v>447</v>
      </c>
      <c r="B427" t="s">
        <v>475</v>
      </c>
      <c r="C427">
        <v>48</v>
      </c>
      <c r="D427" t="s">
        <v>46</v>
      </c>
      <c r="E427" t="s">
        <v>34</v>
      </c>
      <c r="F427" t="s">
        <v>38</v>
      </c>
      <c r="G427">
        <f t="shared" si="27"/>
        <v>2</v>
      </c>
      <c r="H427">
        <v>81</v>
      </c>
      <c r="I427">
        <f t="shared" si="58"/>
        <v>0</v>
      </c>
      <c r="J427">
        <v>0</v>
      </c>
      <c r="K427">
        <f t="shared" si="59"/>
        <v>0</v>
      </c>
      <c r="L427">
        <f t="shared" si="60"/>
        <v>0</v>
      </c>
      <c r="M427">
        <v>0</v>
      </c>
      <c r="N427">
        <v>0</v>
      </c>
      <c r="O427">
        <v>0</v>
      </c>
      <c r="P427">
        <f t="shared" si="61"/>
        <v>0</v>
      </c>
      <c r="Q427">
        <f t="shared" si="62"/>
        <v>0</v>
      </c>
      <c r="R427">
        <f t="shared" si="63"/>
        <v>0</v>
      </c>
      <c r="S427">
        <v>0</v>
      </c>
      <c r="T427">
        <v>0</v>
      </c>
      <c r="U427">
        <v>0</v>
      </c>
      <c r="V427">
        <v>0</v>
      </c>
    </row>
    <row r="428" spans="1:22" x14ac:dyDescent="0.3">
      <c r="A428" t="s">
        <v>447</v>
      </c>
      <c r="B428" t="s">
        <v>476</v>
      </c>
      <c r="C428">
        <v>46</v>
      </c>
      <c r="D428" t="s">
        <v>46</v>
      </c>
      <c r="E428" t="s">
        <v>31</v>
      </c>
      <c r="F428" t="s">
        <v>38</v>
      </c>
      <c r="G428">
        <f t="shared" si="27"/>
        <v>2</v>
      </c>
      <c r="H428">
        <v>0</v>
      </c>
      <c r="I428">
        <f t="shared" si="58"/>
        <v>0</v>
      </c>
      <c r="J428">
        <v>0</v>
      </c>
      <c r="K428">
        <f t="shared" si="59"/>
        <v>0</v>
      </c>
      <c r="L428">
        <f t="shared" si="60"/>
        <v>0</v>
      </c>
      <c r="M428">
        <v>0</v>
      </c>
      <c r="N428">
        <v>0</v>
      </c>
      <c r="O428">
        <v>0</v>
      </c>
      <c r="P428">
        <f t="shared" si="61"/>
        <v>0</v>
      </c>
      <c r="Q428">
        <f t="shared" si="62"/>
        <v>0</v>
      </c>
      <c r="R428">
        <f t="shared" si="63"/>
        <v>0</v>
      </c>
      <c r="S428">
        <v>0</v>
      </c>
      <c r="T428">
        <v>0</v>
      </c>
      <c r="U428">
        <v>0</v>
      </c>
      <c r="V428">
        <v>0</v>
      </c>
    </row>
    <row r="429" spans="1:22" x14ac:dyDescent="0.3">
      <c r="A429" t="s">
        <v>447</v>
      </c>
      <c r="B429" t="s">
        <v>477</v>
      </c>
      <c r="C429">
        <v>62</v>
      </c>
      <c r="D429" t="s">
        <v>46</v>
      </c>
      <c r="E429" t="s">
        <v>31</v>
      </c>
      <c r="F429" t="s">
        <v>65</v>
      </c>
      <c r="G429">
        <f t="shared" si="27"/>
        <v>3</v>
      </c>
      <c r="H429">
        <v>0</v>
      </c>
      <c r="I429">
        <f t="shared" si="58"/>
        <v>0</v>
      </c>
      <c r="J429">
        <v>0</v>
      </c>
      <c r="K429">
        <f t="shared" si="59"/>
        <v>0</v>
      </c>
      <c r="L429">
        <f t="shared" si="60"/>
        <v>0</v>
      </c>
      <c r="M429">
        <v>0</v>
      </c>
      <c r="N429">
        <v>0</v>
      </c>
      <c r="O429">
        <v>0</v>
      </c>
      <c r="P429">
        <f t="shared" si="61"/>
        <v>0</v>
      </c>
      <c r="Q429">
        <f t="shared" si="62"/>
        <v>0</v>
      </c>
      <c r="R429">
        <f t="shared" si="63"/>
        <v>0</v>
      </c>
      <c r="S429">
        <v>0</v>
      </c>
      <c r="T429">
        <v>0</v>
      </c>
      <c r="U429">
        <v>0</v>
      </c>
      <c r="V429">
        <v>0</v>
      </c>
    </row>
    <row r="430" spans="1:22" x14ac:dyDescent="0.3">
      <c r="A430" t="s">
        <v>447</v>
      </c>
      <c r="B430" t="s">
        <v>478</v>
      </c>
      <c r="C430">
        <v>51</v>
      </c>
      <c r="D430" t="s">
        <v>46</v>
      </c>
      <c r="E430" t="s">
        <v>37</v>
      </c>
      <c r="F430" t="s">
        <v>38</v>
      </c>
      <c r="G430">
        <f t="shared" si="27"/>
        <v>2</v>
      </c>
      <c r="H430">
        <v>923</v>
      </c>
      <c r="I430">
        <f t="shared" si="58"/>
        <v>0</v>
      </c>
      <c r="J430">
        <v>0</v>
      </c>
      <c r="K430">
        <f t="shared" si="59"/>
        <v>0</v>
      </c>
      <c r="L430">
        <f t="shared" si="60"/>
        <v>0</v>
      </c>
      <c r="M430">
        <v>0</v>
      </c>
      <c r="N430">
        <v>0</v>
      </c>
      <c r="O430">
        <v>0</v>
      </c>
      <c r="P430">
        <f t="shared" si="61"/>
        <v>0</v>
      </c>
      <c r="Q430">
        <f t="shared" si="62"/>
        <v>0</v>
      </c>
      <c r="R430">
        <f t="shared" si="63"/>
        <v>0</v>
      </c>
      <c r="S430">
        <v>0</v>
      </c>
      <c r="T430">
        <v>0</v>
      </c>
      <c r="U430">
        <v>0</v>
      </c>
      <c r="V430">
        <v>0</v>
      </c>
    </row>
    <row r="431" spans="1:22" x14ac:dyDescent="0.3">
      <c r="A431" t="s">
        <v>447</v>
      </c>
      <c r="B431" t="s">
        <v>479</v>
      </c>
      <c r="C431">
        <v>75</v>
      </c>
      <c r="D431" t="s">
        <v>46</v>
      </c>
      <c r="E431" t="s">
        <v>31</v>
      </c>
      <c r="F431" t="s">
        <v>65</v>
      </c>
      <c r="G431">
        <f t="shared" si="27"/>
        <v>3</v>
      </c>
      <c r="H431">
        <v>1004</v>
      </c>
      <c r="I431">
        <f t="shared" si="58"/>
        <v>0</v>
      </c>
      <c r="J431">
        <v>0</v>
      </c>
      <c r="K431">
        <f t="shared" si="59"/>
        <v>0</v>
      </c>
      <c r="L431">
        <f t="shared" si="60"/>
        <v>0</v>
      </c>
      <c r="M431">
        <v>0</v>
      </c>
      <c r="N431">
        <v>0</v>
      </c>
      <c r="O431">
        <v>0</v>
      </c>
      <c r="P431">
        <f t="shared" si="61"/>
        <v>0</v>
      </c>
      <c r="Q431">
        <f t="shared" si="62"/>
        <v>0</v>
      </c>
      <c r="R431">
        <f t="shared" si="63"/>
        <v>0</v>
      </c>
      <c r="S431">
        <v>0</v>
      </c>
      <c r="T431">
        <v>0</v>
      </c>
      <c r="U431">
        <v>0</v>
      </c>
      <c r="V431">
        <v>0</v>
      </c>
    </row>
    <row r="432" spans="1:22" x14ac:dyDescent="0.3">
      <c r="A432" t="s">
        <v>447</v>
      </c>
      <c r="B432" t="s">
        <v>480</v>
      </c>
      <c r="C432">
        <v>46</v>
      </c>
      <c r="D432" t="s">
        <v>46</v>
      </c>
      <c r="E432" t="s">
        <v>25</v>
      </c>
      <c r="F432" t="s">
        <v>38</v>
      </c>
      <c r="G432">
        <f t="shared" si="27"/>
        <v>2</v>
      </c>
      <c r="H432">
        <v>1004</v>
      </c>
      <c r="I432">
        <f t="shared" si="58"/>
        <v>0</v>
      </c>
      <c r="J432">
        <v>0</v>
      </c>
      <c r="K432">
        <f t="shared" si="59"/>
        <v>0</v>
      </c>
      <c r="L432">
        <f t="shared" si="60"/>
        <v>0</v>
      </c>
      <c r="M432">
        <v>0</v>
      </c>
      <c r="N432">
        <v>0</v>
      </c>
      <c r="O432">
        <v>0</v>
      </c>
      <c r="P432">
        <f t="shared" si="61"/>
        <v>0</v>
      </c>
      <c r="Q432">
        <f t="shared" si="62"/>
        <v>0</v>
      </c>
      <c r="R432">
        <f t="shared" si="63"/>
        <v>0</v>
      </c>
      <c r="S432">
        <v>0</v>
      </c>
      <c r="T432">
        <v>0</v>
      </c>
      <c r="U432">
        <v>0</v>
      </c>
      <c r="V432">
        <v>0</v>
      </c>
    </row>
    <row r="433" spans="1:22" x14ac:dyDescent="0.3">
      <c r="A433" t="s">
        <v>447</v>
      </c>
      <c r="B433" t="s">
        <v>481</v>
      </c>
      <c r="C433">
        <v>66</v>
      </c>
      <c r="D433" t="s">
        <v>46</v>
      </c>
      <c r="E433" t="s">
        <v>37</v>
      </c>
      <c r="F433" t="s">
        <v>65</v>
      </c>
      <c r="G433">
        <f t="shared" si="27"/>
        <v>3</v>
      </c>
      <c r="H433">
        <v>1004</v>
      </c>
      <c r="I433">
        <f t="shared" si="58"/>
        <v>0</v>
      </c>
      <c r="J433">
        <v>0</v>
      </c>
      <c r="K433">
        <f t="shared" si="59"/>
        <v>0</v>
      </c>
      <c r="L433">
        <f t="shared" si="60"/>
        <v>0</v>
      </c>
      <c r="M433">
        <v>0</v>
      </c>
      <c r="N433">
        <v>0</v>
      </c>
      <c r="O433">
        <v>0</v>
      </c>
      <c r="P433">
        <f t="shared" si="61"/>
        <v>0</v>
      </c>
      <c r="Q433">
        <f t="shared" si="62"/>
        <v>0</v>
      </c>
      <c r="R433">
        <f t="shared" si="63"/>
        <v>0</v>
      </c>
      <c r="S433">
        <v>0</v>
      </c>
      <c r="T433">
        <v>0</v>
      </c>
      <c r="U433">
        <v>0</v>
      </c>
      <c r="V433">
        <v>0</v>
      </c>
    </row>
    <row r="434" spans="1:22" x14ac:dyDescent="0.3">
      <c r="A434" t="s">
        <v>447</v>
      </c>
      <c r="B434" t="s">
        <v>482</v>
      </c>
      <c r="C434">
        <v>43</v>
      </c>
      <c r="D434" t="s">
        <v>73</v>
      </c>
      <c r="E434" t="s">
        <v>25</v>
      </c>
      <c r="F434" t="s">
        <v>65</v>
      </c>
      <c r="G434">
        <f t="shared" si="27"/>
        <v>3</v>
      </c>
      <c r="H434">
        <v>922</v>
      </c>
      <c r="I434">
        <f t="shared" si="58"/>
        <v>1</v>
      </c>
      <c r="J434">
        <v>0</v>
      </c>
      <c r="K434">
        <f t="shared" si="59"/>
        <v>0</v>
      </c>
      <c r="L434">
        <f t="shared" si="60"/>
        <v>1</v>
      </c>
      <c r="M434">
        <v>0</v>
      </c>
      <c r="N434">
        <v>0</v>
      </c>
      <c r="O434">
        <v>0</v>
      </c>
      <c r="P434">
        <f t="shared" si="61"/>
        <v>0</v>
      </c>
      <c r="Q434">
        <f t="shared" si="62"/>
        <v>0</v>
      </c>
      <c r="R434">
        <f t="shared" si="63"/>
        <v>0</v>
      </c>
      <c r="S434">
        <v>0</v>
      </c>
      <c r="T434">
        <v>0</v>
      </c>
      <c r="U434">
        <v>0</v>
      </c>
      <c r="V434">
        <v>0</v>
      </c>
    </row>
    <row r="435" spans="1:22" x14ac:dyDescent="0.3">
      <c r="A435" t="s">
        <v>447</v>
      </c>
      <c r="B435" t="s">
        <v>456</v>
      </c>
      <c r="C435">
        <v>58</v>
      </c>
      <c r="D435" t="s">
        <v>54</v>
      </c>
      <c r="E435" t="s">
        <v>37</v>
      </c>
      <c r="F435" t="s">
        <v>65</v>
      </c>
      <c r="G435">
        <f t="shared" si="27"/>
        <v>3</v>
      </c>
      <c r="H435">
        <v>922</v>
      </c>
      <c r="I435">
        <f t="shared" si="58"/>
        <v>1</v>
      </c>
      <c r="J435">
        <v>0</v>
      </c>
      <c r="K435">
        <f t="shared" si="59"/>
        <v>0</v>
      </c>
      <c r="L435">
        <f t="shared" si="60"/>
        <v>1</v>
      </c>
      <c r="M435">
        <v>0</v>
      </c>
      <c r="N435">
        <v>0</v>
      </c>
      <c r="O435">
        <v>0</v>
      </c>
      <c r="P435">
        <f t="shared" si="61"/>
        <v>0</v>
      </c>
      <c r="Q435">
        <f t="shared" si="62"/>
        <v>0</v>
      </c>
      <c r="R435">
        <f t="shared" si="63"/>
        <v>0</v>
      </c>
      <c r="S435">
        <v>0</v>
      </c>
      <c r="T435">
        <v>0</v>
      </c>
      <c r="U435">
        <v>0</v>
      </c>
      <c r="V435">
        <v>0</v>
      </c>
    </row>
    <row r="436" spans="1:22" x14ac:dyDescent="0.3">
      <c r="A436" t="s">
        <v>447</v>
      </c>
      <c r="B436" t="s">
        <v>483</v>
      </c>
      <c r="C436">
        <v>62</v>
      </c>
      <c r="D436" t="s">
        <v>30</v>
      </c>
      <c r="E436" t="s">
        <v>25</v>
      </c>
      <c r="F436" t="s">
        <v>65</v>
      </c>
      <c r="G436">
        <f t="shared" si="27"/>
        <v>3</v>
      </c>
      <c r="H436">
        <v>917</v>
      </c>
      <c r="I436">
        <f t="shared" si="58"/>
        <v>1</v>
      </c>
      <c r="J436">
        <v>0</v>
      </c>
      <c r="K436">
        <f t="shared" si="59"/>
        <v>0</v>
      </c>
      <c r="L436">
        <f t="shared" si="60"/>
        <v>1</v>
      </c>
      <c r="M436">
        <v>0</v>
      </c>
      <c r="N436">
        <v>0</v>
      </c>
      <c r="O436">
        <v>0</v>
      </c>
      <c r="P436">
        <f t="shared" si="61"/>
        <v>0</v>
      </c>
      <c r="Q436">
        <f t="shared" si="62"/>
        <v>0</v>
      </c>
      <c r="R436">
        <f t="shared" si="63"/>
        <v>0</v>
      </c>
      <c r="S436">
        <v>0</v>
      </c>
      <c r="T436">
        <v>0</v>
      </c>
      <c r="U436">
        <v>0</v>
      </c>
      <c r="V436">
        <v>0</v>
      </c>
    </row>
    <row r="437" spans="1:22" x14ac:dyDescent="0.3">
      <c r="A437" t="s">
        <v>447</v>
      </c>
      <c r="B437" t="s">
        <v>484</v>
      </c>
      <c r="C437">
        <v>56</v>
      </c>
      <c r="D437" t="s">
        <v>54</v>
      </c>
      <c r="E437" t="s">
        <v>28</v>
      </c>
      <c r="F437" t="s">
        <v>65</v>
      </c>
      <c r="G437">
        <f t="shared" si="27"/>
        <v>3</v>
      </c>
      <c r="H437">
        <v>982</v>
      </c>
      <c r="I437">
        <f t="shared" si="58"/>
        <v>1</v>
      </c>
      <c r="J437">
        <v>0</v>
      </c>
      <c r="K437">
        <f t="shared" si="59"/>
        <v>0</v>
      </c>
      <c r="L437">
        <f t="shared" si="60"/>
        <v>1</v>
      </c>
      <c r="M437">
        <v>0</v>
      </c>
      <c r="N437">
        <v>0</v>
      </c>
      <c r="O437">
        <v>0</v>
      </c>
      <c r="P437">
        <f t="shared" si="61"/>
        <v>0</v>
      </c>
      <c r="Q437">
        <f t="shared" si="62"/>
        <v>0</v>
      </c>
      <c r="R437">
        <f t="shared" si="63"/>
        <v>0</v>
      </c>
      <c r="S437">
        <v>0</v>
      </c>
      <c r="T437">
        <v>0</v>
      </c>
      <c r="U437">
        <v>0</v>
      </c>
      <c r="V437">
        <v>0</v>
      </c>
    </row>
    <row r="438" spans="1:22" x14ac:dyDescent="0.3">
      <c r="A438" t="s">
        <v>447</v>
      </c>
      <c r="B438" t="s">
        <v>485</v>
      </c>
      <c r="C438">
        <v>69</v>
      </c>
      <c r="D438" t="s">
        <v>30</v>
      </c>
      <c r="E438" t="s">
        <v>31</v>
      </c>
      <c r="F438" t="s">
        <v>65</v>
      </c>
      <c r="G438">
        <f t="shared" si="27"/>
        <v>3</v>
      </c>
      <c r="H438">
        <v>691</v>
      </c>
      <c r="I438">
        <f t="shared" si="58"/>
        <v>1</v>
      </c>
      <c r="J438">
        <v>0</v>
      </c>
      <c r="K438">
        <f t="shared" si="59"/>
        <v>0</v>
      </c>
      <c r="L438">
        <f t="shared" si="60"/>
        <v>1</v>
      </c>
      <c r="M438">
        <v>0</v>
      </c>
      <c r="N438">
        <v>0</v>
      </c>
      <c r="O438">
        <v>0</v>
      </c>
      <c r="P438">
        <f t="shared" si="61"/>
        <v>0</v>
      </c>
      <c r="Q438">
        <f t="shared" si="62"/>
        <v>0</v>
      </c>
      <c r="R438">
        <f t="shared" si="63"/>
        <v>0</v>
      </c>
      <c r="S438">
        <v>0</v>
      </c>
      <c r="T438">
        <v>0</v>
      </c>
      <c r="U438">
        <v>0</v>
      </c>
      <c r="V438">
        <v>0</v>
      </c>
    </row>
    <row r="439" spans="1:22" x14ac:dyDescent="0.3">
      <c r="A439" t="s">
        <v>447</v>
      </c>
      <c r="B439" t="s">
        <v>486</v>
      </c>
      <c r="C439">
        <v>24</v>
      </c>
      <c r="D439" t="s">
        <v>56</v>
      </c>
      <c r="E439" t="s">
        <v>28</v>
      </c>
      <c r="F439" t="s">
        <v>60</v>
      </c>
      <c r="G439">
        <f t="shared" si="27"/>
        <v>1</v>
      </c>
      <c r="H439">
        <v>897</v>
      </c>
      <c r="I439">
        <f t="shared" si="58"/>
        <v>1</v>
      </c>
      <c r="J439">
        <v>0</v>
      </c>
      <c r="K439">
        <f t="shared" si="59"/>
        <v>0</v>
      </c>
      <c r="L439">
        <f t="shared" si="60"/>
        <v>1</v>
      </c>
      <c r="M439">
        <v>0</v>
      </c>
      <c r="N439">
        <v>0</v>
      </c>
      <c r="O439">
        <v>0</v>
      </c>
      <c r="P439">
        <f t="shared" si="61"/>
        <v>0</v>
      </c>
      <c r="Q439">
        <f t="shared" si="62"/>
        <v>0</v>
      </c>
      <c r="R439">
        <f t="shared" si="63"/>
        <v>0</v>
      </c>
      <c r="S439">
        <v>0</v>
      </c>
      <c r="T439">
        <v>0</v>
      </c>
      <c r="U439">
        <v>0</v>
      </c>
      <c r="V439">
        <v>0</v>
      </c>
    </row>
    <row r="440" spans="1:22" x14ac:dyDescent="0.3">
      <c r="A440" t="s">
        <v>447</v>
      </c>
      <c r="B440" t="s">
        <v>487</v>
      </c>
      <c r="C440">
        <v>21</v>
      </c>
      <c r="D440" t="s">
        <v>73</v>
      </c>
      <c r="E440" t="s">
        <v>28</v>
      </c>
      <c r="F440" t="s">
        <v>60</v>
      </c>
      <c r="G440">
        <f t="shared" si="27"/>
        <v>1</v>
      </c>
      <c r="H440">
        <v>515</v>
      </c>
      <c r="I440">
        <f t="shared" si="58"/>
        <v>1</v>
      </c>
      <c r="J440">
        <v>0</v>
      </c>
      <c r="K440">
        <f t="shared" si="59"/>
        <v>0</v>
      </c>
      <c r="L440">
        <f t="shared" si="60"/>
        <v>1</v>
      </c>
      <c r="M440">
        <v>0</v>
      </c>
      <c r="N440">
        <v>0</v>
      </c>
      <c r="O440">
        <v>0</v>
      </c>
      <c r="P440">
        <f t="shared" si="61"/>
        <v>0</v>
      </c>
      <c r="Q440">
        <f t="shared" si="62"/>
        <v>0</v>
      </c>
      <c r="R440">
        <f t="shared" si="63"/>
        <v>0</v>
      </c>
      <c r="S440">
        <v>0</v>
      </c>
      <c r="T440">
        <v>0</v>
      </c>
      <c r="U440">
        <v>0</v>
      </c>
      <c r="V440">
        <v>0</v>
      </c>
    </row>
    <row r="441" spans="1:22" x14ac:dyDescent="0.3">
      <c r="A441" t="s">
        <v>447</v>
      </c>
      <c r="B441" t="s">
        <v>488</v>
      </c>
      <c r="C441">
        <v>53</v>
      </c>
      <c r="D441" t="s">
        <v>56</v>
      </c>
      <c r="E441" t="s">
        <v>25</v>
      </c>
      <c r="F441" t="s">
        <v>65</v>
      </c>
      <c r="G441">
        <f t="shared" si="27"/>
        <v>3</v>
      </c>
      <c r="H441">
        <v>532</v>
      </c>
      <c r="I441">
        <f t="shared" si="58"/>
        <v>1</v>
      </c>
      <c r="J441">
        <v>0</v>
      </c>
      <c r="K441">
        <f t="shared" si="59"/>
        <v>0</v>
      </c>
      <c r="L441">
        <f t="shared" si="60"/>
        <v>1</v>
      </c>
      <c r="M441">
        <v>0</v>
      </c>
      <c r="N441">
        <v>0</v>
      </c>
      <c r="O441">
        <v>0</v>
      </c>
      <c r="P441">
        <f t="shared" si="61"/>
        <v>0</v>
      </c>
      <c r="Q441">
        <f t="shared" si="62"/>
        <v>0</v>
      </c>
      <c r="R441">
        <f t="shared" si="63"/>
        <v>0</v>
      </c>
      <c r="S441">
        <v>0</v>
      </c>
      <c r="T441">
        <v>0</v>
      </c>
      <c r="U441">
        <v>0</v>
      </c>
      <c r="V441">
        <v>0</v>
      </c>
    </row>
    <row r="442" spans="1:22" x14ac:dyDescent="0.3">
      <c r="A442" t="s">
        <v>447</v>
      </c>
      <c r="B442" t="s">
        <v>489</v>
      </c>
      <c r="C442">
        <v>64</v>
      </c>
      <c r="D442" t="s">
        <v>56</v>
      </c>
      <c r="E442" t="s">
        <v>34</v>
      </c>
      <c r="F442" t="s">
        <v>65</v>
      </c>
      <c r="G442">
        <f t="shared" si="27"/>
        <v>3</v>
      </c>
      <c r="H442">
        <v>496</v>
      </c>
      <c r="I442">
        <f t="shared" si="58"/>
        <v>1</v>
      </c>
      <c r="J442">
        <v>0</v>
      </c>
      <c r="K442">
        <f t="shared" si="59"/>
        <v>0</v>
      </c>
      <c r="L442">
        <f t="shared" si="60"/>
        <v>1</v>
      </c>
      <c r="M442">
        <v>0</v>
      </c>
      <c r="N442">
        <v>0</v>
      </c>
      <c r="O442">
        <v>0</v>
      </c>
      <c r="P442">
        <f t="shared" si="61"/>
        <v>0</v>
      </c>
      <c r="Q442">
        <f t="shared" si="62"/>
        <v>0</v>
      </c>
      <c r="R442">
        <f t="shared" si="63"/>
        <v>0</v>
      </c>
      <c r="S442">
        <v>0</v>
      </c>
      <c r="T442">
        <v>0</v>
      </c>
      <c r="U442">
        <v>0</v>
      </c>
      <c r="V442">
        <v>0</v>
      </c>
    </row>
    <row r="443" spans="1:22" x14ac:dyDescent="0.3">
      <c r="A443" t="s">
        <v>447</v>
      </c>
      <c r="B443" t="s">
        <v>490</v>
      </c>
      <c r="C443">
        <v>44</v>
      </c>
      <c r="D443" t="s">
        <v>73</v>
      </c>
      <c r="E443" t="s">
        <v>25</v>
      </c>
      <c r="F443" t="s">
        <v>65</v>
      </c>
      <c r="G443">
        <f t="shared" si="27"/>
        <v>3</v>
      </c>
      <c r="H443">
        <v>406</v>
      </c>
      <c r="I443">
        <f t="shared" si="58"/>
        <v>1</v>
      </c>
      <c r="J443">
        <v>0</v>
      </c>
      <c r="K443">
        <f t="shared" si="59"/>
        <v>0</v>
      </c>
      <c r="L443">
        <f t="shared" si="60"/>
        <v>1</v>
      </c>
      <c r="M443">
        <v>0</v>
      </c>
      <c r="N443">
        <v>0</v>
      </c>
      <c r="O443">
        <v>0</v>
      </c>
      <c r="P443">
        <f t="shared" si="61"/>
        <v>0</v>
      </c>
      <c r="Q443">
        <f t="shared" si="62"/>
        <v>0</v>
      </c>
      <c r="R443">
        <f t="shared" si="63"/>
        <v>0</v>
      </c>
      <c r="S443">
        <v>0</v>
      </c>
      <c r="T443">
        <v>0</v>
      </c>
      <c r="U443">
        <v>0</v>
      </c>
      <c r="V443">
        <v>0</v>
      </c>
    </row>
    <row r="444" spans="1:22" x14ac:dyDescent="0.3">
      <c r="A444" t="s">
        <v>447</v>
      </c>
      <c r="B444" t="s">
        <v>326</v>
      </c>
      <c r="C444">
        <v>70</v>
      </c>
      <c r="D444" t="s">
        <v>30</v>
      </c>
      <c r="E444" t="s">
        <v>28</v>
      </c>
      <c r="F444" t="s">
        <v>65</v>
      </c>
      <c r="G444">
        <f t="shared" si="27"/>
        <v>3</v>
      </c>
      <c r="H444">
        <v>176</v>
      </c>
      <c r="I444">
        <f t="shared" si="58"/>
        <v>1</v>
      </c>
      <c r="J444">
        <v>0</v>
      </c>
      <c r="K444">
        <f t="shared" si="59"/>
        <v>0</v>
      </c>
      <c r="L444">
        <f t="shared" si="60"/>
        <v>1</v>
      </c>
      <c r="M444">
        <v>0</v>
      </c>
      <c r="N444">
        <v>0</v>
      </c>
      <c r="O444">
        <v>0</v>
      </c>
      <c r="P444">
        <f t="shared" si="61"/>
        <v>0</v>
      </c>
      <c r="Q444">
        <f t="shared" si="62"/>
        <v>0</v>
      </c>
      <c r="R444">
        <f t="shared" si="63"/>
        <v>0</v>
      </c>
      <c r="S444">
        <v>0</v>
      </c>
      <c r="T444">
        <v>0</v>
      </c>
      <c r="U444">
        <v>0</v>
      </c>
      <c r="V444">
        <v>0</v>
      </c>
    </row>
    <row r="445" spans="1:22" x14ac:dyDescent="0.3">
      <c r="A445" t="s">
        <v>447</v>
      </c>
      <c r="B445" t="s">
        <v>491</v>
      </c>
      <c r="C445">
        <v>44</v>
      </c>
      <c r="D445" t="s">
        <v>54</v>
      </c>
      <c r="E445" t="s">
        <v>25</v>
      </c>
      <c r="F445" t="s">
        <v>38</v>
      </c>
      <c r="G445">
        <f t="shared" si="27"/>
        <v>2</v>
      </c>
      <c r="H445">
        <v>263</v>
      </c>
      <c r="I445">
        <f t="shared" si="58"/>
        <v>1</v>
      </c>
      <c r="J445">
        <v>0</v>
      </c>
      <c r="K445">
        <f t="shared" si="59"/>
        <v>0</v>
      </c>
      <c r="L445">
        <f t="shared" si="60"/>
        <v>1</v>
      </c>
      <c r="M445">
        <v>0</v>
      </c>
      <c r="N445">
        <v>0</v>
      </c>
      <c r="O445">
        <v>0</v>
      </c>
      <c r="P445">
        <f t="shared" si="61"/>
        <v>0</v>
      </c>
      <c r="Q445">
        <f t="shared" si="62"/>
        <v>0</v>
      </c>
      <c r="R445">
        <f t="shared" si="63"/>
        <v>0</v>
      </c>
      <c r="S445">
        <v>0</v>
      </c>
      <c r="T445">
        <v>0</v>
      </c>
      <c r="U445">
        <v>0</v>
      </c>
      <c r="V445">
        <v>0</v>
      </c>
    </row>
    <row r="446" spans="1:22" x14ac:dyDescent="0.3">
      <c r="A446" t="s">
        <v>447</v>
      </c>
      <c r="B446" t="s">
        <v>492</v>
      </c>
      <c r="C446">
        <v>34</v>
      </c>
      <c r="D446" t="s">
        <v>56</v>
      </c>
      <c r="E446" t="s">
        <v>25</v>
      </c>
      <c r="F446" t="s">
        <v>38</v>
      </c>
      <c r="G446">
        <f t="shared" si="27"/>
        <v>2</v>
      </c>
      <c r="H446">
        <v>170</v>
      </c>
      <c r="I446">
        <f t="shared" si="58"/>
        <v>1</v>
      </c>
      <c r="J446">
        <v>0</v>
      </c>
      <c r="K446">
        <f t="shared" si="59"/>
        <v>0</v>
      </c>
      <c r="L446">
        <f t="shared" si="60"/>
        <v>1</v>
      </c>
      <c r="M446">
        <v>0</v>
      </c>
      <c r="N446">
        <v>0</v>
      </c>
      <c r="O446">
        <v>0</v>
      </c>
      <c r="P446">
        <f t="shared" si="61"/>
        <v>0</v>
      </c>
      <c r="Q446">
        <f t="shared" si="62"/>
        <v>0</v>
      </c>
      <c r="R446">
        <f t="shared" si="63"/>
        <v>0</v>
      </c>
      <c r="S446">
        <v>0</v>
      </c>
      <c r="T446">
        <v>0</v>
      </c>
      <c r="U446">
        <v>0</v>
      </c>
      <c r="V446">
        <v>0</v>
      </c>
    </row>
    <row r="447" spans="1:22" x14ac:dyDescent="0.3">
      <c r="A447" t="s">
        <v>447</v>
      </c>
      <c r="B447" t="s">
        <v>493</v>
      </c>
      <c r="C447">
        <v>51</v>
      </c>
      <c r="D447" t="s">
        <v>56</v>
      </c>
      <c r="E447" t="s">
        <v>41</v>
      </c>
      <c r="F447" t="s">
        <v>65</v>
      </c>
      <c r="G447">
        <f t="shared" si="27"/>
        <v>3</v>
      </c>
      <c r="H447">
        <v>402</v>
      </c>
      <c r="I447">
        <f t="shared" si="58"/>
        <v>1</v>
      </c>
      <c r="J447">
        <v>0</v>
      </c>
      <c r="K447">
        <f t="shared" si="59"/>
        <v>0</v>
      </c>
      <c r="L447">
        <f t="shared" si="60"/>
        <v>1</v>
      </c>
      <c r="M447">
        <v>0</v>
      </c>
      <c r="N447">
        <v>0</v>
      </c>
      <c r="O447">
        <v>0</v>
      </c>
      <c r="P447">
        <f t="shared" si="61"/>
        <v>0</v>
      </c>
      <c r="Q447">
        <f t="shared" si="62"/>
        <v>0</v>
      </c>
      <c r="R447">
        <f t="shared" si="63"/>
        <v>0</v>
      </c>
      <c r="S447">
        <v>0</v>
      </c>
      <c r="T447">
        <v>0</v>
      </c>
      <c r="U447">
        <v>0</v>
      </c>
      <c r="V447">
        <v>0</v>
      </c>
    </row>
    <row r="448" spans="1:22" x14ac:dyDescent="0.3">
      <c r="A448" t="s">
        <v>447</v>
      </c>
      <c r="B448" t="s">
        <v>494</v>
      </c>
      <c r="C448">
        <v>55</v>
      </c>
      <c r="D448" t="s">
        <v>73</v>
      </c>
      <c r="E448" t="s">
        <v>34</v>
      </c>
      <c r="F448" t="s">
        <v>65</v>
      </c>
      <c r="G448">
        <f t="shared" si="27"/>
        <v>3</v>
      </c>
      <c r="H448">
        <v>270</v>
      </c>
      <c r="I448">
        <f t="shared" si="58"/>
        <v>1</v>
      </c>
      <c r="J448">
        <v>0</v>
      </c>
      <c r="K448">
        <f t="shared" si="59"/>
        <v>0</v>
      </c>
      <c r="L448">
        <f t="shared" si="60"/>
        <v>1</v>
      </c>
      <c r="M448">
        <v>0</v>
      </c>
      <c r="N448">
        <v>0</v>
      </c>
      <c r="O448">
        <v>0</v>
      </c>
      <c r="P448">
        <f t="shared" si="61"/>
        <v>0</v>
      </c>
      <c r="Q448">
        <f t="shared" si="62"/>
        <v>0</v>
      </c>
      <c r="R448">
        <f t="shared" si="63"/>
        <v>0</v>
      </c>
      <c r="S448">
        <v>0</v>
      </c>
      <c r="T448">
        <v>0</v>
      </c>
      <c r="U448">
        <v>0</v>
      </c>
      <c r="V448">
        <v>0</v>
      </c>
    </row>
    <row r="449" spans="1:22" x14ac:dyDescent="0.3">
      <c r="A449" t="s">
        <v>447</v>
      </c>
      <c r="B449" t="s">
        <v>412</v>
      </c>
      <c r="C449">
        <v>16</v>
      </c>
      <c r="D449" t="s">
        <v>73</v>
      </c>
      <c r="E449" t="s">
        <v>28</v>
      </c>
      <c r="F449" t="s">
        <v>60</v>
      </c>
      <c r="G449">
        <f t="shared" ref="G449:G529" si="64">IF(F449="Normal",1,IF(F449="Impact",2,IF(F449="Star",3,IF(F449="Elite",4,0))))</f>
        <v>1</v>
      </c>
      <c r="H449">
        <v>260</v>
      </c>
      <c r="I449">
        <f t="shared" si="58"/>
        <v>1</v>
      </c>
      <c r="J449">
        <v>0</v>
      </c>
      <c r="K449">
        <f t="shared" si="59"/>
        <v>0</v>
      </c>
      <c r="L449">
        <f t="shared" si="60"/>
        <v>1</v>
      </c>
      <c r="M449">
        <v>0</v>
      </c>
      <c r="N449">
        <v>0</v>
      </c>
      <c r="O449">
        <v>0</v>
      </c>
      <c r="P449">
        <f t="shared" si="61"/>
        <v>0</v>
      </c>
      <c r="Q449">
        <f t="shared" si="62"/>
        <v>0</v>
      </c>
      <c r="R449">
        <f t="shared" si="63"/>
        <v>0</v>
      </c>
      <c r="S449">
        <v>0</v>
      </c>
      <c r="T449">
        <v>0</v>
      </c>
      <c r="U449">
        <v>0</v>
      </c>
      <c r="V449">
        <v>0</v>
      </c>
    </row>
    <row r="450" spans="1:22" x14ac:dyDescent="0.3">
      <c r="A450" t="s">
        <v>447</v>
      </c>
      <c r="B450" t="s">
        <v>495</v>
      </c>
      <c r="C450">
        <v>39</v>
      </c>
      <c r="D450" t="s">
        <v>73</v>
      </c>
      <c r="E450" t="s">
        <v>34</v>
      </c>
      <c r="F450" t="s">
        <v>38</v>
      </c>
      <c r="G450">
        <f t="shared" si="64"/>
        <v>2</v>
      </c>
      <c r="H450">
        <v>299</v>
      </c>
      <c r="I450">
        <f t="shared" si="58"/>
        <v>1</v>
      </c>
      <c r="J450">
        <v>0</v>
      </c>
      <c r="K450">
        <f t="shared" si="59"/>
        <v>0</v>
      </c>
      <c r="L450">
        <f t="shared" si="60"/>
        <v>1</v>
      </c>
      <c r="M450">
        <v>0</v>
      </c>
      <c r="N450">
        <v>0</v>
      </c>
      <c r="O450">
        <v>0</v>
      </c>
      <c r="P450">
        <f t="shared" si="61"/>
        <v>0</v>
      </c>
      <c r="Q450">
        <f t="shared" si="62"/>
        <v>0</v>
      </c>
      <c r="R450">
        <f t="shared" si="63"/>
        <v>0</v>
      </c>
      <c r="S450">
        <v>0</v>
      </c>
      <c r="T450">
        <v>0</v>
      </c>
      <c r="U450">
        <v>0</v>
      </c>
      <c r="V450">
        <v>0</v>
      </c>
    </row>
    <row r="451" spans="1:22" x14ac:dyDescent="0.3">
      <c r="A451" t="s">
        <v>447</v>
      </c>
      <c r="B451" t="s">
        <v>496</v>
      </c>
      <c r="C451">
        <v>26</v>
      </c>
      <c r="D451" t="s">
        <v>56</v>
      </c>
      <c r="E451" t="s">
        <v>34</v>
      </c>
      <c r="F451" t="s">
        <v>60</v>
      </c>
      <c r="G451">
        <f t="shared" si="64"/>
        <v>1</v>
      </c>
      <c r="H451">
        <v>0</v>
      </c>
      <c r="I451">
        <f t="shared" si="58"/>
        <v>1</v>
      </c>
      <c r="J451">
        <v>0</v>
      </c>
      <c r="K451">
        <f t="shared" si="59"/>
        <v>0</v>
      </c>
      <c r="L451">
        <f t="shared" si="60"/>
        <v>1</v>
      </c>
      <c r="M451">
        <v>0</v>
      </c>
      <c r="N451">
        <v>0</v>
      </c>
      <c r="O451">
        <v>0</v>
      </c>
      <c r="P451">
        <f t="shared" si="61"/>
        <v>0</v>
      </c>
      <c r="Q451">
        <f t="shared" si="62"/>
        <v>0</v>
      </c>
      <c r="R451">
        <f t="shared" si="63"/>
        <v>0</v>
      </c>
      <c r="S451">
        <v>0</v>
      </c>
      <c r="T451">
        <v>0</v>
      </c>
      <c r="U451">
        <v>0</v>
      </c>
      <c r="V451">
        <v>0</v>
      </c>
    </row>
    <row r="452" spans="1:22" x14ac:dyDescent="0.3">
      <c r="A452" t="s">
        <v>447</v>
      </c>
      <c r="B452" t="s">
        <v>497</v>
      </c>
      <c r="C452">
        <v>22</v>
      </c>
      <c r="D452" t="s">
        <v>142</v>
      </c>
      <c r="E452" t="s">
        <v>31</v>
      </c>
      <c r="F452" t="s">
        <v>60</v>
      </c>
      <c r="G452">
        <f t="shared" si="64"/>
        <v>1</v>
      </c>
      <c r="H452">
        <v>0</v>
      </c>
      <c r="I452">
        <f t="shared" si="58"/>
        <v>0</v>
      </c>
      <c r="J452">
        <v>0</v>
      </c>
      <c r="K452">
        <f t="shared" si="59"/>
        <v>0</v>
      </c>
      <c r="L452">
        <f t="shared" si="60"/>
        <v>0</v>
      </c>
      <c r="M452">
        <v>0</v>
      </c>
      <c r="N452">
        <v>0</v>
      </c>
      <c r="O452">
        <v>0</v>
      </c>
      <c r="P452">
        <f t="shared" si="61"/>
        <v>0</v>
      </c>
      <c r="Q452">
        <f t="shared" si="62"/>
        <v>0</v>
      </c>
      <c r="R452">
        <f t="shared" si="63"/>
        <v>0</v>
      </c>
      <c r="S452">
        <v>0</v>
      </c>
      <c r="T452">
        <v>0</v>
      </c>
      <c r="U452">
        <v>0</v>
      </c>
      <c r="V452">
        <v>0</v>
      </c>
    </row>
    <row r="453" spans="1:22" x14ac:dyDescent="0.3">
      <c r="A453" t="s">
        <v>447</v>
      </c>
      <c r="B453" t="s">
        <v>498</v>
      </c>
      <c r="C453">
        <v>59</v>
      </c>
      <c r="D453" t="s">
        <v>56</v>
      </c>
      <c r="E453" t="s">
        <v>34</v>
      </c>
      <c r="F453" t="s">
        <v>65</v>
      </c>
      <c r="G453">
        <f t="shared" si="64"/>
        <v>3</v>
      </c>
      <c r="H453">
        <v>0</v>
      </c>
      <c r="I453">
        <f t="shared" si="58"/>
        <v>1</v>
      </c>
      <c r="J453">
        <v>0</v>
      </c>
      <c r="K453">
        <f t="shared" si="59"/>
        <v>0</v>
      </c>
      <c r="L453">
        <f t="shared" si="60"/>
        <v>1</v>
      </c>
      <c r="M453">
        <v>0</v>
      </c>
      <c r="N453">
        <v>0</v>
      </c>
      <c r="O453">
        <v>0</v>
      </c>
      <c r="P453">
        <f t="shared" si="61"/>
        <v>0</v>
      </c>
      <c r="Q453">
        <f t="shared" si="62"/>
        <v>0</v>
      </c>
      <c r="R453">
        <f t="shared" si="63"/>
        <v>0</v>
      </c>
      <c r="S453">
        <v>0</v>
      </c>
      <c r="T453">
        <v>0</v>
      </c>
      <c r="U453">
        <v>0</v>
      </c>
      <c r="V453">
        <v>0</v>
      </c>
    </row>
    <row r="454" spans="1:22" x14ac:dyDescent="0.3">
      <c r="A454" t="s">
        <v>447</v>
      </c>
      <c r="B454" t="s">
        <v>499</v>
      </c>
      <c r="C454">
        <v>36</v>
      </c>
      <c r="D454" t="s">
        <v>54</v>
      </c>
      <c r="E454" t="s">
        <v>37</v>
      </c>
      <c r="F454" t="s">
        <v>38</v>
      </c>
      <c r="G454">
        <f t="shared" si="64"/>
        <v>2</v>
      </c>
      <c r="H454">
        <v>34</v>
      </c>
      <c r="I454">
        <f t="shared" si="58"/>
        <v>1</v>
      </c>
      <c r="J454">
        <v>0</v>
      </c>
      <c r="K454">
        <f t="shared" si="59"/>
        <v>0</v>
      </c>
      <c r="L454">
        <f t="shared" si="60"/>
        <v>1</v>
      </c>
      <c r="M454">
        <v>0</v>
      </c>
      <c r="N454">
        <v>0</v>
      </c>
      <c r="O454">
        <v>0</v>
      </c>
      <c r="P454">
        <f t="shared" si="61"/>
        <v>0</v>
      </c>
      <c r="Q454">
        <f t="shared" si="62"/>
        <v>0</v>
      </c>
      <c r="R454">
        <f t="shared" si="63"/>
        <v>0</v>
      </c>
      <c r="S454">
        <v>0</v>
      </c>
      <c r="T454">
        <v>0</v>
      </c>
      <c r="U454">
        <v>0</v>
      </c>
      <c r="V454">
        <v>0</v>
      </c>
    </row>
    <row r="455" spans="1:22" x14ac:dyDescent="0.3">
      <c r="A455" t="s">
        <v>447</v>
      </c>
      <c r="B455" t="s">
        <v>500</v>
      </c>
      <c r="C455">
        <v>55</v>
      </c>
      <c r="D455" t="s">
        <v>54</v>
      </c>
      <c r="E455" t="s">
        <v>41</v>
      </c>
      <c r="F455" t="s">
        <v>65</v>
      </c>
      <c r="G455">
        <f t="shared" si="64"/>
        <v>3</v>
      </c>
      <c r="H455">
        <v>0</v>
      </c>
      <c r="I455">
        <f t="shared" si="58"/>
        <v>1</v>
      </c>
      <c r="J455">
        <v>0</v>
      </c>
      <c r="K455">
        <f t="shared" si="59"/>
        <v>0</v>
      </c>
      <c r="L455">
        <f t="shared" si="60"/>
        <v>1</v>
      </c>
      <c r="M455">
        <v>0</v>
      </c>
      <c r="N455">
        <v>0</v>
      </c>
      <c r="O455">
        <v>0</v>
      </c>
      <c r="P455">
        <f t="shared" si="61"/>
        <v>0</v>
      </c>
      <c r="Q455">
        <f t="shared" si="62"/>
        <v>0</v>
      </c>
      <c r="R455">
        <f t="shared" si="63"/>
        <v>0</v>
      </c>
      <c r="S455">
        <v>0</v>
      </c>
      <c r="T455">
        <v>0</v>
      </c>
      <c r="U455">
        <v>0</v>
      </c>
      <c r="V455">
        <v>0</v>
      </c>
    </row>
    <row r="456" spans="1:22" x14ac:dyDescent="0.3">
      <c r="A456" t="s">
        <v>447</v>
      </c>
      <c r="B456" t="s">
        <v>501</v>
      </c>
      <c r="C456">
        <v>35</v>
      </c>
      <c r="D456" t="s">
        <v>56</v>
      </c>
      <c r="E456" t="s">
        <v>41</v>
      </c>
      <c r="F456" t="s">
        <v>38</v>
      </c>
      <c r="G456">
        <f t="shared" si="64"/>
        <v>2</v>
      </c>
      <c r="H456">
        <v>0</v>
      </c>
      <c r="I456">
        <f t="shared" si="58"/>
        <v>1</v>
      </c>
      <c r="J456">
        <v>0</v>
      </c>
      <c r="K456">
        <f t="shared" si="59"/>
        <v>0</v>
      </c>
      <c r="L456">
        <f t="shared" si="60"/>
        <v>1</v>
      </c>
      <c r="M456">
        <v>0</v>
      </c>
      <c r="N456">
        <v>0</v>
      </c>
      <c r="O456">
        <v>0</v>
      </c>
      <c r="P456">
        <f t="shared" si="61"/>
        <v>0</v>
      </c>
      <c r="Q456">
        <f t="shared" si="62"/>
        <v>0</v>
      </c>
      <c r="R456">
        <f t="shared" si="63"/>
        <v>0</v>
      </c>
      <c r="S456">
        <v>0</v>
      </c>
      <c r="T456">
        <v>0</v>
      </c>
      <c r="U456">
        <v>0</v>
      </c>
      <c r="V456">
        <v>0</v>
      </c>
    </row>
    <row r="457" spans="1:22" x14ac:dyDescent="0.3">
      <c r="A457" t="s">
        <v>447</v>
      </c>
      <c r="B457" t="s">
        <v>502</v>
      </c>
      <c r="C457">
        <v>58</v>
      </c>
      <c r="D457" t="s">
        <v>56</v>
      </c>
      <c r="E457" t="s">
        <v>31</v>
      </c>
      <c r="F457" t="s">
        <v>65</v>
      </c>
      <c r="G457">
        <f t="shared" si="64"/>
        <v>3</v>
      </c>
      <c r="H457">
        <v>0</v>
      </c>
      <c r="I457">
        <f t="shared" si="58"/>
        <v>1</v>
      </c>
      <c r="J457">
        <v>0</v>
      </c>
      <c r="K457">
        <f t="shared" si="59"/>
        <v>0</v>
      </c>
      <c r="L457">
        <f t="shared" si="60"/>
        <v>1</v>
      </c>
      <c r="M457">
        <v>0</v>
      </c>
      <c r="N457">
        <v>0</v>
      </c>
      <c r="O457">
        <v>0</v>
      </c>
      <c r="P457">
        <f t="shared" si="61"/>
        <v>0</v>
      </c>
      <c r="Q457">
        <f t="shared" si="62"/>
        <v>0</v>
      </c>
      <c r="R457">
        <f t="shared" si="63"/>
        <v>0</v>
      </c>
      <c r="S457">
        <v>0</v>
      </c>
      <c r="T457">
        <v>0</v>
      </c>
      <c r="U457">
        <v>0</v>
      </c>
      <c r="V457">
        <v>0</v>
      </c>
    </row>
    <row r="458" spans="1:22" x14ac:dyDescent="0.3">
      <c r="A458" t="s">
        <v>447</v>
      </c>
      <c r="B458" t="s">
        <v>503</v>
      </c>
      <c r="C458">
        <v>39</v>
      </c>
      <c r="D458" t="s">
        <v>56</v>
      </c>
      <c r="E458" t="s">
        <v>31</v>
      </c>
      <c r="F458" t="s">
        <v>38</v>
      </c>
      <c r="G458">
        <f t="shared" si="64"/>
        <v>2</v>
      </c>
      <c r="H458">
        <v>3</v>
      </c>
      <c r="I458">
        <f t="shared" si="58"/>
        <v>1</v>
      </c>
      <c r="J458">
        <v>0</v>
      </c>
      <c r="K458">
        <f t="shared" si="59"/>
        <v>0</v>
      </c>
      <c r="L458">
        <f t="shared" si="60"/>
        <v>1</v>
      </c>
      <c r="M458">
        <v>0</v>
      </c>
      <c r="N458">
        <v>0</v>
      </c>
      <c r="O458">
        <v>0</v>
      </c>
      <c r="P458">
        <f t="shared" si="61"/>
        <v>0</v>
      </c>
      <c r="Q458">
        <f t="shared" si="62"/>
        <v>0</v>
      </c>
      <c r="R458">
        <f t="shared" si="63"/>
        <v>0</v>
      </c>
      <c r="S458">
        <v>0</v>
      </c>
      <c r="T458">
        <v>0</v>
      </c>
      <c r="U458">
        <v>0</v>
      </c>
      <c r="V458">
        <v>0</v>
      </c>
    </row>
    <row r="459" spans="1:22" x14ac:dyDescent="0.3">
      <c r="A459" t="s">
        <v>447</v>
      </c>
      <c r="B459" t="s">
        <v>504</v>
      </c>
      <c r="C459">
        <v>59</v>
      </c>
      <c r="D459" t="s">
        <v>56</v>
      </c>
      <c r="E459" t="s">
        <v>31</v>
      </c>
      <c r="F459" t="s">
        <v>65</v>
      </c>
      <c r="G459">
        <f t="shared" si="64"/>
        <v>3</v>
      </c>
      <c r="H459">
        <v>57</v>
      </c>
      <c r="I459">
        <f t="shared" si="58"/>
        <v>1</v>
      </c>
      <c r="J459">
        <v>0</v>
      </c>
      <c r="K459">
        <f t="shared" si="59"/>
        <v>0</v>
      </c>
      <c r="L459">
        <f t="shared" si="60"/>
        <v>1</v>
      </c>
      <c r="M459">
        <v>0</v>
      </c>
      <c r="N459">
        <v>0</v>
      </c>
      <c r="O459">
        <v>0</v>
      </c>
      <c r="P459">
        <f t="shared" si="61"/>
        <v>0</v>
      </c>
      <c r="Q459">
        <f t="shared" si="62"/>
        <v>0</v>
      </c>
      <c r="R459">
        <f t="shared" si="63"/>
        <v>0</v>
      </c>
      <c r="S459">
        <v>0</v>
      </c>
      <c r="T459">
        <v>0</v>
      </c>
      <c r="U459">
        <v>0</v>
      </c>
      <c r="V459">
        <v>0</v>
      </c>
    </row>
    <row r="460" spans="1:22" x14ac:dyDescent="0.3">
      <c r="A460" t="s">
        <v>447</v>
      </c>
      <c r="B460" t="s">
        <v>505</v>
      </c>
      <c r="C460">
        <v>18</v>
      </c>
      <c r="D460" t="s">
        <v>73</v>
      </c>
      <c r="E460" t="s">
        <v>37</v>
      </c>
      <c r="F460" t="s">
        <v>60</v>
      </c>
      <c r="G460">
        <f t="shared" si="64"/>
        <v>1</v>
      </c>
      <c r="H460">
        <v>94</v>
      </c>
      <c r="I460">
        <f t="shared" si="58"/>
        <v>1</v>
      </c>
      <c r="J460">
        <v>0</v>
      </c>
      <c r="K460">
        <f t="shared" si="59"/>
        <v>0</v>
      </c>
      <c r="L460">
        <f t="shared" si="60"/>
        <v>1</v>
      </c>
      <c r="M460">
        <v>0</v>
      </c>
      <c r="N460">
        <v>0</v>
      </c>
      <c r="O460">
        <v>0</v>
      </c>
      <c r="P460">
        <f t="shared" si="61"/>
        <v>0</v>
      </c>
      <c r="Q460">
        <f t="shared" si="62"/>
        <v>0</v>
      </c>
      <c r="R460">
        <f t="shared" si="63"/>
        <v>0</v>
      </c>
      <c r="S460">
        <v>0</v>
      </c>
      <c r="T460">
        <v>0</v>
      </c>
      <c r="U460">
        <v>0</v>
      </c>
      <c r="V460">
        <v>0</v>
      </c>
    </row>
    <row r="461" spans="1:22" x14ac:dyDescent="0.3">
      <c r="A461" t="s">
        <v>447</v>
      </c>
      <c r="B461" t="s">
        <v>239</v>
      </c>
      <c r="C461">
        <v>61</v>
      </c>
      <c r="D461" t="s">
        <v>56</v>
      </c>
      <c r="E461" t="s">
        <v>31</v>
      </c>
      <c r="F461" t="s">
        <v>65</v>
      </c>
      <c r="G461">
        <f t="shared" si="64"/>
        <v>3</v>
      </c>
      <c r="H461">
        <v>0</v>
      </c>
      <c r="I461">
        <f t="shared" si="58"/>
        <v>1</v>
      </c>
      <c r="J461">
        <v>0</v>
      </c>
      <c r="K461">
        <f t="shared" si="59"/>
        <v>0</v>
      </c>
      <c r="L461">
        <f t="shared" si="60"/>
        <v>1</v>
      </c>
      <c r="M461">
        <v>0</v>
      </c>
      <c r="N461">
        <v>0</v>
      </c>
      <c r="O461">
        <v>0</v>
      </c>
      <c r="P461">
        <f t="shared" si="61"/>
        <v>0</v>
      </c>
      <c r="Q461">
        <f t="shared" si="62"/>
        <v>0</v>
      </c>
      <c r="R461">
        <f t="shared" si="63"/>
        <v>0</v>
      </c>
      <c r="S461">
        <v>0</v>
      </c>
      <c r="T461">
        <v>0</v>
      </c>
      <c r="U461">
        <v>0</v>
      </c>
      <c r="V461">
        <v>0</v>
      </c>
    </row>
    <row r="462" spans="1:22" x14ac:dyDescent="0.3">
      <c r="A462" t="s">
        <v>447</v>
      </c>
      <c r="B462" t="s">
        <v>506</v>
      </c>
      <c r="C462">
        <v>25</v>
      </c>
      <c r="D462" t="s">
        <v>54</v>
      </c>
      <c r="E462" t="s">
        <v>41</v>
      </c>
      <c r="F462" t="s">
        <v>60</v>
      </c>
      <c r="G462">
        <f t="shared" si="64"/>
        <v>1</v>
      </c>
      <c r="H462">
        <v>0</v>
      </c>
      <c r="I462">
        <f t="shared" si="58"/>
        <v>1</v>
      </c>
      <c r="J462">
        <v>0</v>
      </c>
      <c r="K462">
        <f t="shared" si="59"/>
        <v>0</v>
      </c>
      <c r="L462">
        <f t="shared" si="60"/>
        <v>1</v>
      </c>
      <c r="M462">
        <v>0</v>
      </c>
      <c r="N462">
        <v>0</v>
      </c>
      <c r="O462">
        <v>0</v>
      </c>
      <c r="P462">
        <f t="shared" si="61"/>
        <v>0</v>
      </c>
      <c r="Q462">
        <f t="shared" si="62"/>
        <v>0</v>
      </c>
      <c r="R462">
        <f t="shared" si="63"/>
        <v>0</v>
      </c>
      <c r="S462">
        <v>0</v>
      </c>
      <c r="T462">
        <v>0</v>
      </c>
      <c r="U462">
        <v>0</v>
      </c>
      <c r="V462">
        <v>0</v>
      </c>
    </row>
    <row r="463" spans="1:22" x14ac:dyDescent="0.3">
      <c r="A463" t="s">
        <v>447</v>
      </c>
      <c r="B463" t="s">
        <v>507</v>
      </c>
      <c r="C463">
        <v>32</v>
      </c>
      <c r="D463" t="s">
        <v>73</v>
      </c>
      <c r="E463" t="s">
        <v>34</v>
      </c>
      <c r="F463" t="s">
        <v>38</v>
      </c>
      <c r="G463">
        <f t="shared" si="64"/>
        <v>2</v>
      </c>
      <c r="H463">
        <v>0</v>
      </c>
      <c r="I463">
        <f t="shared" si="58"/>
        <v>1</v>
      </c>
      <c r="J463">
        <v>0</v>
      </c>
      <c r="K463">
        <f t="shared" si="59"/>
        <v>0</v>
      </c>
      <c r="L463">
        <f t="shared" si="60"/>
        <v>1</v>
      </c>
      <c r="M463">
        <v>0</v>
      </c>
      <c r="N463">
        <v>0</v>
      </c>
      <c r="O463">
        <v>0</v>
      </c>
      <c r="P463">
        <f t="shared" si="61"/>
        <v>0</v>
      </c>
      <c r="Q463">
        <f t="shared" si="62"/>
        <v>0</v>
      </c>
      <c r="R463">
        <f t="shared" si="63"/>
        <v>0</v>
      </c>
      <c r="S463">
        <v>0</v>
      </c>
      <c r="T463">
        <v>0</v>
      </c>
      <c r="U463">
        <v>0</v>
      </c>
      <c r="V463">
        <v>0</v>
      </c>
    </row>
    <row r="464" spans="1:22" x14ac:dyDescent="0.3">
      <c r="A464" t="s">
        <v>447</v>
      </c>
      <c r="B464" t="s">
        <v>508</v>
      </c>
      <c r="C464">
        <v>66</v>
      </c>
      <c r="D464" t="s">
        <v>30</v>
      </c>
      <c r="E464" t="s">
        <v>31</v>
      </c>
      <c r="F464" t="s">
        <v>65</v>
      </c>
      <c r="G464">
        <f t="shared" si="64"/>
        <v>3</v>
      </c>
      <c r="H464">
        <v>0</v>
      </c>
      <c r="I464">
        <f t="shared" si="58"/>
        <v>1</v>
      </c>
      <c r="J464">
        <v>0</v>
      </c>
      <c r="K464">
        <f t="shared" si="59"/>
        <v>0</v>
      </c>
      <c r="L464">
        <f t="shared" si="60"/>
        <v>1</v>
      </c>
      <c r="M464">
        <v>0</v>
      </c>
      <c r="N464">
        <v>0</v>
      </c>
      <c r="O464">
        <v>0</v>
      </c>
      <c r="P464">
        <f t="shared" si="61"/>
        <v>0</v>
      </c>
      <c r="Q464">
        <f t="shared" si="62"/>
        <v>0</v>
      </c>
      <c r="R464">
        <f t="shared" si="63"/>
        <v>0</v>
      </c>
      <c r="S464">
        <v>0</v>
      </c>
      <c r="T464">
        <v>0</v>
      </c>
      <c r="U464">
        <v>0</v>
      </c>
      <c r="V464">
        <v>0</v>
      </c>
    </row>
    <row r="465" spans="1:22" x14ac:dyDescent="0.3">
      <c r="A465" t="s">
        <v>447</v>
      </c>
      <c r="B465" t="s">
        <v>509</v>
      </c>
      <c r="C465">
        <v>38</v>
      </c>
      <c r="D465" t="s">
        <v>56</v>
      </c>
      <c r="E465" t="s">
        <v>31</v>
      </c>
      <c r="F465" t="s">
        <v>38</v>
      </c>
      <c r="G465">
        <f t="shared" si="64"/>
        <v>2</v>
      </c>
      <c r="H465">
        <v>0</v>
      </c>
      <c r="I465">
        <f t="shared" si="58"/>
        <v>1</v>
      </c>
      <c r="J465">
        <v>0</v>
      </c>
      <c r="K465">
        <f t="shared" si="59"/>
        <v>0</v>
      </c>
      <c r="L465">
        <f t="shared" si="60"/>
        <v>1</v>
      </c>
      <c r="M465">
        <v>0</v>
      </c>
      <c r="N465">
        <v>0</v>
      </c>
      <c r="O465">
        <v>0</v>
      </c>
      <c r="P465">
        <f t="shared" si="61"/>
        <v>0</v>
      </c>
      <c r="Q465">
        <f t="shared" si="62"/>
        <v>0</v>
      </c>
      <c r="R465">
        <f t="shared" si="63"/>
        <v>0</v>
      </c>
      <c r="S465">
        <v>0</v>
      </c>
      <c r="T465">
        <v>0</v>
      </c>
      <c r="U465">
        <v>0</v>
      </c>
      <c r="V465">
        <v>0</v>
      </c>
    </row>
    <row r="466" spans="1:22" x14ac:dyDescent="0.3">
      <c r="A466" t="s">
        <v>447</v>
      </c>
      <c r="B466" t="s">
        <v>510</v>
      </c>
      <c r="C466">
        <v>55</v>
      </c>
      <c r="D466" t="s">
        <v>73</v>
      </c>
      <c r="E466" t="s">
        <v>31</v>
      </c>
      <c r="F466" t="s">
        <v>65</v>
      </c>
      <c r="G466">
        <f t="shared" si="64"/>
        <v>3</v>
      </c>
      <c r="H466">
        <v>0</v>
      </c>
      <c r="I466">
        <f t="shared" ref="I466:I529" si="65">IF(OR(D466="QB", D466="RB", D466="WR", D466="TE", D466="DL", D466="LB", D466="CB", D466="S"), 1, 0)</f>
        <v>1</v>
      </c>
      <c r="J466">
        <v>0</v>
      </c>
      <c r="K466">
        <f t="shared" ref="K466:K469" si="66">IF(OR(D466="QB", D466="RB"), 1, 0)</f>
        <v>0</v>
      </c>
      <c r="L466">
        <f t="shared" ref="L466:L469" si="67">IF(OR(D466="DL", D466="LB", D466="CB", D466="S"), 1, 0)</f>
        <v>1</v>
      </c>
      <c r="M466">
        <v>0</v>
      </c>
      <c r="N466">
        <v>0</v>
      </c>
      <c r="O466">
        <v>0</v>
      </c>
      <c r="P466">
        <f t="shared" ref="P466:P469" si="68">IF(OR(D466="WR", D466="TE"), 1, 0)</f>
        <v>0</v>
      </c>
      <c r="Q466">
        <f t="shared" ref="Q466:Q469" si="69">IF(AND(D466="QB", OR(E466="FR", E466="SO", E466="FR (RS)", E466="SO (RS)")), 1, 0)</f>
        <v>0</v>
      </c>
      <c r="R466">
        <f t="shared" ref="R466:R470" si="70">IF(AND(D466="QB", H466&gt;300), 1, 0)</f>
        <v>0</v>
      </c>
      <c r="S466">
        <v>0</v>
      </c>
      <c r="T466">
        <v>0</v>
      </c>
      <c r="U466">
        <v>0</v>
      </c>
      <c r="V466">
        <v>0</v>
      </c>
    </row>
    <row r="467" spans="1:22" x14ac:dyDescent="0.3">
      <c r="A467" t="s">
        <v>447</v>
      </c>
      <c r="B467" t="s">
        <v>266</v>
      </c>
      <c r="C467">
        <v>51</v>
      </c>
      <c r="D467" t="s">
        <v>54</v>
      </c>
      <c r="E467" t="s">
        <v>34</v>
      </c>
      <c r="F467" t="s">
        <v>38</v>
      </c>
      <c r="G467">
        <f t="shared" si="64"/>
        <v>2</v>
      </c>
      <c r="H467">
        <v>0</v>
      </c>
      <c r="I467">
        <f t="shared" si="65"/>
        <v>1</v>
      </c>
      <c r="J467">
        <v>0</v>
      </c>
      <c r="K467">
        <f t="shared" si="66"/>
        <v>0</v>
      </c>
      <c r="L467">
        <f t="shared" si="67"/>
        <v>1</v>
      </c>
      <c r="M467">
        <v>0</v>
      </c>
      <c r="N467">
        <v>0</v>
      </c>
      <c r="O467">
        <v>0</v>
      </c>
      <c r="P467">
        <f t="shared" si="68"/>
        <v>0</v>
      </c>
      <c r="Q467">
        <f t="shared" si="69"/>
        <v>0</v>
      </c>
      <c r="R467">
        <f t="shared" si="70"/>
        <v>0</v>
      </c>
      <c r="S467">
        <v>0</v>
      </c>
      <c r="T467">
        <v>0</v>
      </c>
      <c r="U467">
        <v>0</v>
      </c>
      <c r="V467">
        <v>0</v>
      </c>
    </row>
    <row r="468" spans="1:22" x14ac:dyDescent="0.3">
      <c r="A468" t="s">
        <v>447</v>
      </c>
      <c r="B468" t="s">
        <v>511</v>
      </c>
      <c r="C468">
        <v>52</v>
      </c>
      <c r="D468" t="s">
        <v>56</v>
      </c>
      <c r="E468" t="s">
        <v>31</v>
      </c>
      <c r="F468" t="s">
        <v>65</v>
      </c>
      <c r="G468">
        <f t="shared" si="64"/>
        <v>3</v>
      </c>
      <c r="H468">
        <v>0</v>
      </c>
      <c r="I468">
        <f t="shared" si="65"/>
        <v>1</v>
      </c>
      <c r="J468">
        <v>0</v>
      </c>
      <c r="K468">
        <f t="shared" si="66"/>
        <v>0</v>
      </c>
      <c r="L468">
        <f t="shared" si="67"/>
        <v>1</v>
      </c>
      <c r="M468">
        <v>0</v>
      </c>
      <c r="N468">
        <v>0</v>
      </c>
      <c r="O468">
        <v>0</v>
      </c>
      <c r="P468">
        <f t="shared" si="68"/>
        <v>0</v>
      </c>
      <c r="Q468">
        <f t="shared" si="69"/>
        <v>0</v>
      </c>
      <c r="R468">
        <f t="shared" si="70"/>
        <v>0</v>
      </c>
      <c r="S468">
        <v>0</v>
      </c>
      <c r="T468">
        <v>0</v>
      </c>
      <c r="U468">
        <v>0</v>
      </c>
      <c r="V468">
        <v>0</v>
      </c>
    </row>
    <row r="469" spans="1:22" x14ac:dyDescent="0.3">
      <c r="A469" t="s">
        <v>447</v>
      </c>
      <c r="B469" t="s">
        <v>512</v>
      </c>
      <c r="C469">
        <v>17</v>
      </c>
      <c r="D469" t="s">
        <v>313</v>
      </c>
      <c r="E469" t="s">
        <v>25</v>
      </c>
      <c r="F469" t="s">
        <v>60</v>
      </c>
      <c r="G469">
        <f t="shared" si="64"/>
        <v>1</v>
      </c>
      <c r="H469">
        <v>81</v>
      </c>
      <c r="I469">
        <f t="shared" si="65"/>
        <v>0</v>
      </c>
      <c r="J469">
        <v>0</v>
      </c>
      <c r="K469">
        <f t="shared" si="66"/>
        <v>0</v>
      </c>
      <c r="L469">
        <f t="shared" si="67"/>
        <v>0</v>
      </c>
      <c r="M469">
        <v>0</v>
      </c>
      <c r="N469">
        <v>0</v>
      </c>
      <c r="O469">
        <v>0</v>
      </c>
      <c r="P469">
        <f t="shared" si="68"/>
        <v>0</v>
      </c>
      <c r="Q469">
        <f t="shared" si="69"/>
        <v>0</v>
      </c>
      <c r="R469">
        <f t="shared" si="70"/>
        <v>0</v>
      </c>
      <c r="S469">
        <v>0</v>
      </c>
      <c r="T469">
        <v>0</v>
      </c>
      <c r="U469">
        <v>0</v>
      </c>
      <c r="V469">
        <v>0</v>
      </c>
    </row>
    <row r="470" spans="1:22" x14ac:dyDescent="0.3">
      <c r="A470" t="s">
        <v>447</v>
      </c>
      <c r="B470" t="s">
        <v>513</v>
      </c>
      <c r="C470">
        <v>17</v>
      </c>
      <c r="D470" t="s">
        <v>316</v>
      </c>
      <c r="E470" t="s">
        <v>31</v>
      </c>
      <c r="F470" t="s">
        <v>60</v>
      </c>
      <c r="G470">
        <f t="shared" si="64"/>
        <v>1</v>
      </c>
      <c r="H470">
        <v>0</v>
      </c>
      <c r="I470">
        <f t="shared" si="65"/>
        <v>0</v>
      </c>
      <c r="J470">
        <v>0</v>
      </c>
      <c r="K470">
        <f>IF(OR(D470="QB", D470="RB"), 1, 0)</f>
        <v>0</v>
      </c>
      <c r="L470">
        <f>IF(OR(D470="DL", D470="LB", D470="CB", D470="S"), 1, 0)</f>
        <v>0</v>
      </c>
      <c r="M470">
        <v>0</v>
      </c>
      <c r="N470">
        <v>0</v>
      </c>
      <c r="O470">
        <v>0</v>
      </c>
      <c r="P470">
        <f>IF(OR(D470="WR", D470="TE"), 1, 0)</f>
        <v>0</v>
      </c>
      <c r="Q470">
        <f>IF(AND(D470="QB", OR(E470="FR", E470="SO", E470="FR (RS)", E470="SO (RS)")), 1, 0)</f>
        <v>0</v>
      </c>
      <c r="R470">
        <f t="shared" si="70"/>
        <v>0</v>
      </c>
      <c r="S470">
        <v>0</v>
      </c>
      <c r="T470">
        <v>0</v>
      </c>
      <c r="U470">
        <v>0</v>
      </c>
      <c r="V470">
        <v>0</v>
      </c>
    </row>
    <row r="471" spans="1:22" x14ac:dyDescent="0.3">
      <c r="A471" t="s">
        <v>447</v>
      </c>
      <c r="B471" t="s">
        <v>450</v>
      </c>
      <c r="C471">
        <v>79</v>
      </c>
      <c r="D471" t="s">
        <v>36</v>
      </c>
      <c r="E471" t="s">
        <v>37</v>
      </c>
      <c r="F471" t="s">
        <v>65</v>
      </c>
      <c r="G471">
        <f t="shared" si="64"/>
        <v>3</v>
      </c>
      <c r="H471">
        <v>1038</v>
      </c>
      <c r="I471">
        <f t="shared" si="65"/>
        <v>1</v>
      </c>
      <c r="J471">
        <v>0</v>
      </c>
      <c r="K471">
        <f>IF(OR(D471="QB", D471="RB", D471 = "WR", D471 = "TE", D471 = "LB"), 1, 0)</f>
        <v>1</v>
      </c>
      <c r="L471">
        <f>IF(OR(D471="DL", D471="LB", D471="CB", D471="S", D471 = "QB", D471 = "OL" ), 1, 0)</f>
        <v>1</v>
      </c>
      <c r="M471">
        <v>0</v>
      </c>
      <c r="N471">
        <v>0</v>
      </c>
      <c r="O471">
        <v>0</v>
      </c>
      <c r="P471">
        <f>IF(OR(D471="WR", D471="TE", D471 = "DL", D471 = "RB"), 1, 0)</f>
        <v>0</v>
      </c>
      <c r="Q471">
        <f>IF(AND(OR(D471="QB", D471="WR", D471="TE"), OR(E471="FR", E471="SO", E471="FR (RS)", E471="SO (RS)")), 1, 0)</f>
        <v>0</v>
      </c>
      <c r="R471">
        <f>IF(AND(OR(D471="QB", D471="WR", D471="TE"), H471&gt;=300), 1, 0)</f>
        <v>1</v>
      </c>
      <c r="S471">
        <v>0</v>
      </c>
      <c r="T471">
        <v>0</v>
      </c>
      <c r="U471">
        <v>0</v>
      </c>
      <c r="V471">
        <v>0</v>
      </c>
    </row>
    <row r="472" spans="1:22" x14ac:dyDescent="0.3">
      <c r="A472" t="s">
        <v>447</v>
      </c>
      <c r="B472" t="s">
        <v>514</v>
      </c>
      <c r="C472">
        <v>49</v>
      </c>
      <c r="D472" t="s">
        <v>36</v>
      </c>
      <c r="E472" t="s">
        <v>31</v>
      </c>
      <c r="F472" t="s">
        <v>38</v>
      </c>
      <c r="G472">
        <f t="shared" si="64"/>
        <v>2</v>
      </c>
      <c r="H472">
        <v>0</v>
      </c>
      <c r="I472">
        <f t="shared" si="65"/>
        <v>1</v>
      </c>
      <c r="J472">
        <v>0</v>
      </c>
      <c r="K472">
        <f t="shared" ref="K472:K529" si="71">IF(OR(D472="QB", D472="RB", D472 = "WR", D472 = "TE", D472 = "LB"), 1, 0)</f>
        <v>1</v>
      </c>
      <c r="L472">
        <f t="shared" ref="L472:L529" si="72">IF(OR(D472="DL", D472="LB", D472="CB", D472="S", D472 = "QB", D472 = "OL" ), 1, 0)</f>
        <v>1</v>
      </c>
      <c r="M472">
        <v>0</v>
      </c>
      <c r="N472">
        <v>0</v>
      </c>
      <c r="O472">
        <v>0</v>
      </c>
      <c r="P472">
        <f t="shared" ref="P472:P529" si="73">IF(OR(D472="WR", D472="TE", D472 = "DL", D472 = "RB"), 1, 0)</f>
        <v>0</v>
      </c>
      <c r="Q472">
        <f t="shared" ref="Q472:Q529" si="74">IF(AND(OR(D472="QB", D472="WR", D472="TE"), OR(E472="FR", E472="SO", E472="FR (RS)", E472="SO (RS)")), 1, 0)</f>
        <v>1</v>
      </c>
      <c r="R472">
        <f t="shared" ref="R472:R529" si="75">IF(AND(OR(D472="QB", D472="WR", D472="TE"), H472&gt;=300), 1, 0)</f>
        <v>0</v>
      </c>
      <c r="S472">
        <v>0</v>
      </c>
      <c r="T472">
        <v>0</v>
      </c>
      <c r="U472">
        <v>0</v>
      </c>
      <c r="V472">
        <v>0</v>
      </c>
    </row>
    <row r="473" spans="1:22" x14ac:dyDescent="0.3">
      <c r="A473" t="s">
        <v>447</v>
      </c>
      <c r="B473" t="s">
        <v>515</v>
      </c>
      <c r="C473">
        <v>50</v>
      </c>
      <c r="D473" t="s">
        <v>36</v>
      </c>
      <c r="E473" t="s">
        <v>34</v>
      </c>
      <c r="F473" t="s">
        <v>38</v>
      </c>
      <c r="G473">
        <f t="shared" si="64"/>
        <v>2</v>
      </c>
      <c r="H473">
        <v>0</v>
      </c>
      <c r="I473">
        <f t="shared" si="65"/>
        <v>1</v>
      </c>
      <c r="J473">
        <v>0</v>
      </c>
      <c r="K473">
        <f t="shared" si="71"/>
        <v>1</v>
      </c>
      <c r="L473">
        <f t="shared" si="72"/>
        <v>1</v>
      </c>
      <c r="M473">
        <v>0</v>
      </c>
      <c r="N473">
        <v>0</v>
      </c>
      <c r="O473">
        <v>0</v>
      </c>
      <c r="P473">
        <f t="shared" si="73"/>
        <v>0</v>
      </c>
      <c r="Q473">
        <f t="shared" si="74"/>
        <v>1</v>
      </c>
      <c r="R473">
        <f t="shared" si="75"/>
        <v>0</v>
      </c>
      <c r="S473">
        <v>0</v>
      </c>
      <c r="T473">
        <v>0</v>
      </c>
      <c r="U473">
        <v>0</v>
      </c>
      <c r="V473">
        <v>0</v>
      </c>
    </row>
    <row r="474" spans="1:22" x14ac:dyDescent="0.3">
      <c r="A474" t="s">
        <v>447</v>
      </c>
      <c r="B474" t="s">
        <v>516</v>
      </c>
      <c r="C474">
        <v>78</v>
      </c>
      <c r="D474" t="s">
        <v>36</v>
      </c>
      <c r="E474" t="s">
        <v>34</v>
      </c>
      <c r="F474" t="s">
        <v>65</v>
      </c>
      <c r="G474">
        <f t="shared" si="64"/>
        <v>3</v>
      </c>
      <c r="H474">
        <v>0</v>
      </c>
      <c r="I474">
        <f t="shared" si="65"/>
        <v>1</v>
      </c>
      <c r="J474">
        <v>0</v>
      </c>
      <c r="K474">
        <f t="shared" si="71"/>
        <v>1</v>
      </c>
      <c r="L474">
        <f t="shared" si="72"/>
        <v>1</v>
      </c>
      <c r="M474">
        <v>0</v>
      </c>
      <c r="N474">
        <v>0</v>
      </c>
      <c r="O474">
        <v>0</v>
      </c>
      <c r="P474">
        <f t="shared" si="73"/>
        <v>0</v>
      </c>
      <c r="Q474">
        <f t="shared" si="74"/>
        <v>1</v>
      </c>
      <c r="R474">
        <f t="shared" si="75"/>
        <v>0</v>
      </c>
      <c r="S474">
        <v>0</v>
      </c>
      <c r="T474">
        <v>0</v>
      </c>
      <c r="U474">
        <v>0</v>
      </c>
      <c r="V474">
        <v>0</v>
      </c>
    </row>
    <row r="475" spans="1:22" x14ac:dyDescent="0.3">
      <c r="A475" t="s">
        <v>447</v>
      </c>
      <c r="B475" t="s">
        <v>517</v>
      </c>
      <c r="C475">
        <v>94</v>
      </c>
      <c r="D475" t="s">
        <v>24</v>
      </c>
      <c r="E475" t="s">
        <v>34</v>
      </c>
      <c r="F475" t="s">
        <v>26</v>
      </c>
      <c r="G475">
        <f t="shared" si="64"/>
        <v>4</v>
      </c>
      <c r="H475">
        <v>317</v>
      </c>
      <c r="I475">
        <f t="shared" si="65"/>
        <v>1</v>
      </c>
      <c r="J475">
        <v>0</v>
      </c>
      <c r="K475">
        <f t="shared" si="71"/>
        <v>1</v>
      </c>
      <c r="L475">
        <f t="shared" si="72"/>
        <v>0</v>
      </c>
      <c r="M475">
        <v>0</v>
      </c>
      <c r="N475">
        <v>0</v>
      </c>
      <c r="O475">
        <v>0</v>
      </c>
      <c r="P475">
        <f t="shared" si="73"/>
        <v>1</v>
      </c>
      <c r="Q475">
        <f t="shared" si="74"/>
        <v>0</v>
      </c>
      <c r="R475">
        <f t="shared" si="75"/>
        <v>0</v>
      </c>
      <c r="S475">
        <v>0</v>
      </c>
      <c r="T475">
        <v>0</v>
      </c>
      <c r="U475">
        <v>0</v>
      </c>
      <c r="V475">
        <v>0</v>
      </c>
    </row>
    <row r="476" spans="1:22" x14ac:dyDescent="0.3">
      <c r="A476" t="s">
        <v>447</v>
      </c>
      <c r="B476" t="s">
        <v>518</v>
      </c>
      <c r="C476">
        <v>27</v>
      </c>
      <c r="D476" t="s">
        <v>24</v>
      </c>
      <c r="E476" t="s">
        <v>28</v>
      </c>
      <c r="F476" t="s">
        <v>60</v>
      </c>
      <c r="G476">
        <f t="shared" si="64"/>
        <v>1</v>
      </c>
      <c r="H476">
        <v>167</v>
      </c>
      <c r="I476">
        <f t="shared" si="65"/>
        <v>1</v>
      </c>
      <c r="J476">
        <v>0</v>
      </c>
      <c r="K476">
        <f t="shared" si="71"/>
        <v>1</v>
      </c>
      <c r="L476">
        <f t="shared" si="72"/>
        <v>0</v>
      </c>
      <c r="M476">
        <v>0</v>
      </c>
      <c r="N476">
        <v>0</v>
      </c>
      <c r="O476">
        <v>0</v>
      </c>
      <c r="P476">
        <f t="shared" si="73"/>
        <v>1</v>
      </c>
      <c r="Q476">
        <f t="shared" si="74"/>
        <v>0</v>
      </c>
      <c r="R476">
        <f t="shared" si="75"/>
        <v>0</v>
      </c>
      <c r="S476">
        <v>0</v>
      </c>
      <c r="T476">
        <v>0</v>
      </c>
      <c r="U476">
        <v>0</v>
      </c>
      <c r="V476">
        <v>0</v>
      </c>
    </row>
    <row r="477" spans="1:22" x14ac:dyDescent="0.3">
      <c r="A477" t="s">
        <v>447</v>
      </c>
      <c r="B477" t="s">
        <v>519</v>
      </c>
      <c r="C477">
        <v>31</v>
      </c>
      <c r="D477" t="s">
        <v>24</v>
      </c>
      <c r="E477" t="s">
        <v>34</v>
      </c>
      <c r="F477" t="s">
        <v>60</v>
      </c>
      <c r="G477">
        <f t="shared" si="64"/>
        <v>1</v>
      </c>
      <c r="H477">
        <v>7</v>
      </c>
      <c r="I477">
        <f t="shared" si="65"/>
        <v>1</v>
      </c>
      <c r="J477">
        <v>0</v>
      </c>
      <c r="K477">
        <f t="shared" si="71"/>
        <v>1</v>
      </c>
      <c r="L477">
        <f t="shared" si="72"/>
        <v>0</v>
      </c>
      <c r="M477">
        <v>0</v>
      </c>
      <c r="N477">
        <v>0</v>
      </c>
      <c r="O477">
        <v>0</v>
      </c>
      <c r="P477">
        <f t="shared" si="73"/>
        <v>1</v>
      </c>
      <c r="Q477">
        <f t="shared" si="74"/>
        <v>0</v>
      </c>
      <c r="R477">
        <f t="shared" si="75"/>
        <v>0</v>
      </c>
      <c r="S477">
        <v>0</v>
      </c>
      <c r="T477">
        <v>0</v>
      </c>
      <c r="U477">
        <v>0</v>
      </c>
      <c r="V477">
        <v>0</v>
      </c>
    </row>
    <row r="478" spans="1:22" x14ac:dyDescent="0.3">
      <c r="A478" t="s">
        <v>447</v>
      </c>
      <c r="B478" t="s">
        <v>453</v>
      </c>
      <c r="C478">
        <v>52</v>
      </c>
      <c r="D478" t="s">
        <v>40</v>
      </c>
      <c r="E478" t="s">
        <v>25</v>
      </c>
      <c r="F478" t="s">
        <v>65</v>
      </c>
      <c r="G478">
        <f t="shared" si="64"/>
        <v>3</v>
      </c>
      <c r="H478">
        <v>1199</v>
      </c>
      <c r="I478">
        <f t="shared" si="65"/>
        <v>1</v>
      </c>
      <c r="J478">
        <v>0</v>
      </c>
      <c r="K478">
        <f t="shared" si="71"/>
        <v>1</v>
      </c>
      <c r="L478">
        <f t="shared" si="72"/>
        <v>0</v>
      </c>
      <c r="M478">
        <v>0</v>
      </c>
      <c r="N478">
        <v>0</v>
      </c>
      <c r="O478">
        <v>0</v>
      </c>
      <c r="P478">
        <f t="shared" si="73"/>
        <v>1</v>
      </c>
      <c r="Q478">
        <f t="shared" si="74"/>
        <v>0</v>
      </c>
      <c r="R478">
        <f t="shared" si="75"/>
        <v>1</v>
      </c>
      <c r="S478">
        <v>0</v>
      </c>
      <c r="T478">
        <v>0</v>
      </c>
      <c r="U478">
        <v>0</v>
      </c>
      <c r="V478">
        <v>0</v>
      </c>
    </row>
    <row r="479" spans="1:22" x14ac:dyDescent="0.3">
      <c r="A479" t="s">
        <v>447</v>
      </c>
      <c r="B479" t="s">
        <v>460</v>
      </c>
      <c r="C479">
        <v>50</v>
      </c>
      <c r="D479" t="s">
        <v>40</v>
      </c>
      <c r="E479" t="s">
        <v>37</v>
      </c>
      <c r="F479" t="s">
        <v>65</v>
      </c>
      <c r="G479">
        <f t="shared" si="64"/>
        <v>3</v>
      </c>
      <c r="H479">
        <v>91</v>
      </c>
      <c r="I479">
        <f t="shared" si="65"/>
        <v>1</v>
      </c>
      <c r="J479">
        <v>0</v>
      </c>
      <c r="K479">
        <f t="shared" si="71"/>
        <v>1</v>
      </c>
      <c r="L479">
        <f t="shared" si="72"/>
        <v>0</v>
      </c>
      <c r="M479">
        <v>0</v>
      </c>
      <c r="N479">
        <v>0</v>
      </c>
      <c r="O479">
        <v>0</v>
      </c>
      <c r="P479">
        <f t="shared" si="73"/>
        <v>1</v>
      </c>
      <c r="Q479">
        <f t="shared" si="74"/>
        <v>0</v>
      </c>
      <c r="R479">
        <f t="shared" si="75"/>
        <v>0</v>
      </c>
      <c r="S479">
        <v>0</v>
      </c>
      <c r="T479">
        <v>0</v>
      </c>
      <c r="U479">
        <v>0</v>
      </c>
      <c r="V479">
        <v>0</v>
      </c>
    </row>
    <row r="480" spans="1:22" x14ac:dyDescent="0.3">
      <c r="A480" t="s">
        <v>447</v>
      </c>
      <c r="B480" t="s">
        <v>462</v>
      </c>
      <c r="C480">
        <v>48</v>
      </c>
      <c r="D480" t="s">
        <v>43</v>
      </c>
      <c r="E480" t="s">
        <v>41</v>
      </c>
      <c r="F480" t="s">
        <v>38</v>
      </c>
      <c r="G480">
        <f t="shared" si="64"/>
        <v>2</v>
      </c>
      <c r="H480">
        <v>830</v>
      </c>
      <c r="I480">
        <f t="shared" si="65"/>
        <v>1</v>
      </c>
      <c r="J480">
        <v>0</v>
      </c>
      <c r="K480">
        <f t="shared" si="71"/>
        <v>1</v>
      </c>
      <c r="L480">
        <f t="shared" si="72"/>
        <v>0</v>
      </c>
      <c r="M480">
        <v>0</v>
      </c>
      <c r="N480">
        <v>0</v>
      </c>
      <c r="O480">
        <v>0</v>
      </c>
      <c r="P480">
        <f t="shared" si="73"/>
        <v>1</v>
      </c>
      <c r="Q480">
        <f t="shared" si="74"/>
        <v>1</v>
      </c>
      <c r="R480">
        <f t="shared" si="75"/>
        <v>1</v>
      </c>
      <c r="S480">
        <v>0</v>
      </c>
      <c r="T480">
        <v>0</v>
      </c>
      <c r="U480">
        <v>0</v>
      </c>
      <c r="V480">
        <v>0</v>
      </c>
    </row>
    <row r="481" spans="1:22" x14ac:dyDescent="0.3">
      <c r="A481" t="s">
        <v>447</v>
      </c>
      <c r="B481" t="s">
        <v>463</v>
      </c>
      <c r="C481">
        <v>46</v>
      </c>
      <c r="D481" t="s">
        <v>43</v>
      </c>
      <c r="E481" t="s">
        <v>37</v>
      </c>
      <c r="F481" t="s">
        <v>38</v>
      </c>
      <c r="G481">
        <f t="shared" si="64"/>
        <v>2</v>
      </c>
      <c r="H481">
        <v>228</v>
      </c>
      <c r="I481">
        <f t="shared" si="65"/>
        <v>1</v>
      </c>
      <c r="J481">
        <v>0</v>
      </c>
      <c r="K481">
        <f t="shared" si="71"/>
        <v>1</v>
      </c>
      <c r="L481">
        <f t="shared" si="72"/>
        <v>0</v>
      </c>
      <c r="M481">
        <v>0</v>
      </c>
      <c r="N481">
        <v>0</v>
      </c>
      <c r="O481">
        <v>0</v>
      </c>
      <c r="P481">
        <f t="shared" si="73"/>
        <v>1</v>
      </c>
      <c r="Q481">
        <f t="shared" si="74"/>
        <v>0</v>
      </c>
      <c r="R481">
        <f t="shared" si="75"/>
        <v>0</v>
      </c>
      <c r="S481">
        <v>0</v>
      </c>
      <c r="T481">
        <v>0</v>
      </c>
      <c r="U481">
        <v>0</v>
      </c>
      <c r="V481">
        <v>0</v>
      </c>
    </row>
    <row r="482" spans="1:22" x14ac:dyDescent="0.3">
      <c r="A482" t="s">
        <v>447</v>
      </c>
      <c r="B482" t="s">
        <v>464</v>
      </c>
      <c r="C482">
        <v>42</v>
      </c>
      <c r="D482" t="s">
        <v>43</v>
      </c>
      <c r="E482" t="s">
        <v>41</v>
      </c>
      <c r="F482" t="s">
        <v>38</v>
      </c>
      <c r="G482">
        <f t="shared" si="64"/>
        <v>2</v>
      </c>
      <c r="H482">
        <v>0</v>
      </c>
      <c r="I482">
        <f t="shared" si="65"/>
        <v>1</v>
      </c>
      <c r="J482">
        <v>0</v>
      </c>
      <c r="K482">
        <f t="shared" si="71"/>
        <v>1</v>
      </c>
      <c r="L482">
        <f t="shared" si="72"/>
        <v>0</v>
      </c>
      <c r="M482">
        <v>0</v>
      </c>
      <c r="N482">
        <v>0</v>
      </c>
      <c r="O482">
        <v>0</v>
      </c>
      <c r="P482">
        <f t="shared" si="73"/>
        <v>1</v>
      </c>
      <c r="Q482">
        <f t="shared" si="74"/>
        <v>1</v>
      </c>
      <c r="R482">
        <f t="shared" si="75"/>
        <v>0</v>
      </c>
      <c r="S482">
        <v>0</v>
      </c>
      <c r="T482">
        <v>0</v>
      </c>
      <c r="U482">
        <v>0</v>
      </c>
      <c r="V482">
        <v>0</v>
      </c>
    </row>
    <row r="483" spans="1:22" x14ac:dyDescent="0.3">
      <c r="A483" t="s">
        <v>447</v>
      </c>
      <c r="B483" t="s">
        <v>465</v>
      </c>
      <c r="C483">
        <v>51</v>
      </c>
      <c r="D483" t="s">
        <v>43</v>
      </c>
      <c r="E483" t="s">
        <v>41</v>
      </c>
      <c r="F483" t="s">
        <v>65</v>
      </c>
      <c r="G483">
        <f t="shared" si="64"/>
        <v>3</v>
      </c>
      <c r="H483">
        <v>399</v>
      </c>
      <c r="I483">
        <f t="shared" si="65"/>
        <v>1</v>
      </c>
      <c r="J483">
        <v>0</v>
      </c>
      <c r="K483">
        <f t="shared" si="71"/>
        <v>1</v>
      </c>
      <c r="L483">
        <f t="shared" si="72"/>
        <v>0</v>
      </c>
      <c r="M483">
        <v>0</v>
      </c>
      <c r="N483">
        <v>0</v>
      </c>
      <c r="O483">
        <v>0</v>
      </c>
      <c r="P483">
        <f t="shared" si="73"/>
        <v>1</v>
      </c>
      <c r="Q483">
        <f t="shared" si="74"/>
        <v>1</v>
      </c>
      <c r="R483">
        <f t="shared" si="75"/>
        <v>1</v>
      </c>
      <c r="S483">
        <v>0</v>
      </c>
      <c r="T483">
        <v>0</v>
      </c>
      <c r="U483">
        <v>0</v>
      </c>
      <c r="V483">
        <v>0</v>
      </c>
    </row>
    <row r="484" spans="1:22" x14ac:dyDescent="0.3">
      <c r="A484" t="s">
        <v>447</v>
      </c>
      <c r="B484" t="s">
        <v>520</v>
      </c>
      <c r="C484">
        <v>101</v>
      </c>
      <c r="D484" t="s">
        <v>43</v>
      </c>
      <c r="E484" t="s">
        <v>28</v>
      </c>
      <c r="F484" t="s">
        <v>26</v>
      </c>
      <c r="G484">
        <f t="shared" si="64"/>
        <v>4</v>
      </c>
      <c r="H484">
        <v>1016</v>
      </c>
      <c r="I484">
        <f t="shared" si="65"/>
        <v>1</v>
      </c>
      <c r="J484">
        <v>0</v>
      </c>
      <c r="K484">
        <f t="shared" si="71"/>
        <v>1</v>
      </c>
      <c r="L484">
        <f t="shared" si="72"/>
        <v>0</v>
      </c>
      <c r="M484">
        <v>0</v>
      </c>
      <c r="N484">
        <v>0</v>
      </c>
      <c r="O484">
        <v>0</v>
      </c>
      <c r="P484">
        <f t="shared" si="73"/>
        <v>1</v>
      </c>
      <c r="Q484">
        <f t="shared" si="74"/>
        <v>1</v>
      </c>
      <c r="R484">
        <f t="shared" si="75"/>
        <v>1</v>
      </c>
      <c r="S484">
        <v>0</v>
      </c>
      <c r="T484">
        <v>0</v>
      </c>
      <c r="U484">
        <v>0</v>
      </c>
      <c r="V484">
        <v>0</v>
      </c>
    </row>
    <row r="485" spans="1:22" x14ac:dyDescent="0.3">
      <c r="A485" t="s">
        <v>447</v>
      </c>
      <c r="B485" t="s">
        <v>521</v>
      </c>
      <c r="C485">
        <v>32</v>
      </c>
      <c r="D485" t="s">
        <v>43</v>
      </c>
      <c r="E485" t="s">
        <v>31</v>
      </c>
      <c r="F485" t="s">
        <v>60</v>
      </c>
      <c r="G485">
        <f t="shared" si="64"/>
        <v>1</v>
      </c>
      <c r="H485">
        <v>0</v>
      </c>
      <c r="I485">
        <f t="shared" si="65"/>
        <v>1</v>
      </c>
      <c r="J485">
        <v>0</v>
      </c>
      <c r="K485">
        <f t="shared" si="71"/>
        <v>1</v>
      </c>
      <c r="L485">
        <f t="shared" si="72"/>
        <v>0</v>
      </c>
      <c r="M485">
        <v>0</v>
      </c>
      <c r="N485">
        <v>0</v>
      </c>
      <c r="O485">
        <v>0</v>
      </c>
      <c r="P485">
        <f t="shared" si="73"/>
        <v>1</v>
      </c>
      <c r="Q485">
        <f t="shared" si="74"/>
        <v>1</v>
      </c>
      <c r="R485">
        <f t="shared" si="75"/>
        <v>0</v>
      </c>
      <c r="S485">
        <v>0</v>
      </c>
      <c r="T485">
        <v>0</v>
      </c>
      <c r="U485">
        <v>0</v>
      </c>
      <c r="V485">
        <v>0</v>
      </c>
    </row>
    <row r="486" spans="1:22" x14ac:dyDescent="0.3">
      <c r="A486" t="s">
        <v>447</v>
      </c>
      <c r="B486" t="s">
        <v>522</v>
      </c>
      <c r="C486">
        <v>55</v>
      </c>
      <c r="D486" t="s">
        <v>43</v>
      </c>
      <c r="E486" t="s">
        <v>34</v>
      </c>
      <c r="F486" t="s">
        <v>38</v>
      </c>
      <c r="G486">
        <f t="shared" si="64"/>
        <v>2</v>
      </c>
      <c r="H486">
        <v>0</v>
      </c>
      <c r="I486">
        <f t="shared" si="65"/>
        <v>1</v>
      </c>
      <c r="J486">
        <v>0</v>
      </c>
      <c r="K486">
        <f t="shared" si="71"/>
        <v>1</v>
      </c>
      <c r="L486">
        <f t="shared" si="72"/>
        <v>0</v>
      </c>
      <c r="M486">
        <v>0</v>
      </c>
      <c r="N486">
        <v>0</v>
      </c>
      <c r="O486">
        <v>0</v>
      </c>
      <c r="P486">
        <f t="shared" si="73"/>
        <v>1</v>
      </c>
      <c r="Q486">
        <f t="shared" si="74"/>
        <v>1</v>
      </c>
      <c r="R486">
        <f t="shared" si="75"/>
        <v>0</v>
      </c>
      <c r="S486">
        <v>0</v>
      </c>
      <c r="T486">
        <v>0</v>
      </c>
      <c r="U486">
        <v>0</v>
      </c>
      <c r="V486">
        <v>0</v>
      </c>
    </row>
    <row r="487" spans="1:22" x14ac:dyDescent="0.3">
      <c r="A487" t="s">
        <v>447</v>
      </c>
      <c r="B487" t="s">
        <v>523</v>
      </c>
      <c r="C487">
        <v>33</v>
      </c>
      <c r="D487" t="s">
        <v>43</v>
      </c>
      <c r="E487" t="s">
        <v>34</v>
      </c>
      <c r="F487" t="s">
        <v>60</v>
      </c>
      <c r="G487">
        <f t="shared" si="64"/>
        <v>1</v>
      </c>
      <c r="H487">
        <v>0</v>
      </c>
      <c r="I487">
        <f t="shared" si="65"/>
        <v>1</v>
      </c>
      <c r="J487">
        <v>0</v>
      </c>
      <c r="K487">
        <f t="shared" si="71"/>
        <v>1</v>
      </c>
      <c r="L487">
        <f t="shared" si="72"/>
        <v>0</v>
      </c>
      <c r="M487">
        <v>0</v>
      </c>
      <c r="N487">
        <v>0</v>
      </c>
      <c r="O487">
        <v>0</v>
      </c>
      <c r="P487">
        <f t="shared" si="73"/>
        <v>1</v>
      </c>
      <c r="Q487">
        <f t="shared" si="74"/>
        <v>1</v>
      </c>
      <c r="R487">
        <f t="shared" si="75"/>
        <v>0</v>
      </c>
      <c r="S487">
        <v>0</v>
      </c>
      <c r="T487">
        <v>0</v>
      </c>
      <c r="U487">
        <v>0</v>
      </c>
      <c r="V487">
        <v>0</v>
      </c>
    </row>
    <row r="488" spans="1:22" x14ac:dyDescent="0.3">
      <c r="A488" t="s">
        <v>447</v>
      </c>
      <c r="B488" t="s">
        <v>524</v>
      </c>
      <c r="C488">
        <v>44</v>
      </c>
      <c r="D488" t="s">
        <v>24</v>
      </c>
      <c r="E488" t="s">
        <v>37</v>
      </c>
      <c r="F488" t="s">
        <v>60</v>
      </c>
      <c r="G488">
        <f t="shared" si="64"/>
        <v>1</v>
      </c>
      <c r="H488">
        <v>10</v>
      </c>
      <c r="I488">
        <f t="shared" si="65"/>
        <v>1</v>
      </c>
      <c r="J488">
        <v>0</v>
      </c>
      <c r="K488">
        <f t="shared" si="71"/>
        <v>1</v>
      </c>
      <c r="L488">
        <f t="shared" si="72"/>
        <v>0</v>
      </c>
      <c r="M488">
        <v>0</v>
      </c>
      <c r="N488">
        <v>0</v>
      </c>
      <c r="O488">
        <v>0</v>
      </c>
      <c r="P488">
        <f t="shared" si="73"/>
        <v>1</v>
      </c>
      <c r="Q488">
        <f t="shared" si="74"/>
        <v>0</v>
      </c>
      <c r="R488">
        <f t="shared" si="75"/>
        <v>0</v>
      </c>
      <c r="S488">
        <v>0</v>
      </c>
      <c r="T488">
        <v>0</v>
      </c>
      <c r="U488">
        <v>0</v>
      </c>
      <c r="V488">
        <v>0</v>
      </c>
    </row>
    <row r="489" spans="1:22" x14ac:dyDescent="0.3">
      <c r="A489" t="s">
        <v>447</v>
      </c>
      <c r="B489" t="s">
        <v>525</v>
      </c>
      <c r="C489">
        <v>50</v>
      </c>
      <c r="D489" t="s">
        <v>43</v>
      </c>
      <c r="E489" t="s">
        <v>37</v>
      </c>
      <c r="F489" t="s">
        <v>38</v>
      </c>
      <c r="G489">
        <f t="shared" si="64"/>
        <v>2</v>
      </c>
      <c r="H489">
        <v>0</v>
      </c>
      <c r="I489">
        <f t="shared" si="65"/>
        <v>1</v>
      </c>
      <c r="J489">
        <v>0</v>
      </c>
      <c r="K489">
        <f t="shared" si="71"/>
        <v>1</v>
      </c>
      <c r="L489">
        <f t="shared" si="72"/>
        <v>0</v>
      </c>
      <c r="M489">
        <v>0</v>
      </c>
      <c r="N489">
        <v>0</v>
      </c>
      <c r="O489">
        <v>0</v>
      </c>
      <c r="P489">
        <f t="shared" si="73"/>
        <v>1</v>
      </c>
      <c r="Q489">
        <f t="shared" si="74"/>
        <v>0</v>
      </c>
      <c r="R489">
        <f t="shared" si="75"/>
        <v>0</v>
      </c>
      <c r="S489">
        <v>0</v>
      </c>
      <c r="T489">
        <v>0</v>
      </c>
      <c r="U489">
        <v>0</v>
      </c>
      <c r="V489">
        <v>0</v>
      </c>
    </row>
    <row r="490" spans="1:22" x14ac:dyDescent="0.3">
      <c r="A490" t="s">
        <v>447</v>
      </c>
      <c r="B490" t="s">
        <v>479</v>
      </c>
      <c r="C490">
        <v>73</v>
      </c>
      <c r="D490" t="s">
        <v>46</v>
      </c>
      <c r="E490" t="s">
        <v>37</v>
      </c>
      <c r="F490" t="s">
        <v>65</v>
      </c>
      <c r="G490">
        <f t="shared" si="64"/>
        <v>3</v>
      </c>
      <c r="H490">
        <v>1133</v>
      </c>
      <c r="I490">
        <f t="shared" si="65"/>
        <v>0</v>
      </c>
      <c r="J490">
        <v>0</v>
      </c>
      <c r="K490">
        <f t="shared" si="71"/>
        <v>0</v>
      </c>
      <c r="L490">
        <f t="shared" si="72"/>
        <v>1</v>
      </c>
      <c r="M490">
        <v>0</v>
      </c>
      <c r="N490">
        <v>0</v>
      </c>
      <c r="O490">
        <v>0</v>
      </c>
      <c r="P490">
        <f t="shared" si="73"/>
        <v>0</v>
      </c>
      <c r="Q490">
        <f t="shared" si="74"/>
        <v>0</v>
      </c>
      <c r="R490">
        <f t="shared" si="75"/>
        <v>0</v>
      </c>
      <c r="S490">
        <v>0</v>
      </c>
      <c r="T490">
        <v>0</v>
      </c>
      <c r="U490">
        <v>0</v>
      </c>
      <c r="V490">
        <v>0</v>
      </c>
    </row>
    <row r="491" spans="1:22" x14ac:dyDescent="0.3">
      <c r="A491" t="s">
        <v>447</v>
      </c>
      <c r="B491" t="s">
        <v>469</v>
      </c>
      <c r="C491">
        <v>29</v>
      </c>
      <c r="D491" t="s">
        <v>46</v>
      </c>
      <c r="E491" t="s">
        <v>37</v>
      </c>
      <c r="F491" t="s">
        <v>60</v>
      </c>
      <c r="G491">
        <f t="shared" si="64"/>
        <v>1</v>
      </c>
      <c r="H491">
        <v>97</v>
      </c>
      <c r="I491">
        <f t="shared" si="65"/>
        <v>0</v>
      </c>
      <c r="J491">
        <v>0</v>
      </c>
      <c r="K491">
        <f t="shared" si="71"/>
        <v>0</v>
      </c>
      <c r="L491">
        <f t="shared" si="72"/>
        <v>1</v>
      </c>
      <c r="M491">
        <v>0</v>
      </c>
      <c r="N491">
        <v>0</v>
      </c>
      <c r="O491">
        <v>0</v>
      </c>
      <c r="P491">
        <f t="shared" si="73"/>
        <v>0</v>
      </c>
      <c r="Q491">
        <f t="shared" si="74"/>
        <v>0</v>
      </c>
      <c r="R491">
        <f t="shared" si="75"/>
        <v>0</v>
      </c>
      <c r="S491">
        <v>0</v>
      </c>
      <c r="T491">
        <v>0</v>
      </c>
      <c r="U491">
        <v>0</v>
      </c>
      <c r="V491">
        <v>0</v>
      </c>
    </row>
    <row r="492" spans="1:22" x14ac:dyDescent="0.3">
      <c r="A492" t="s">
        <v>447</v>
      </c>
      <c r="B492" t="s">
        <v>473</v>
      </c>
      <c r="C492">
        <v>53</v>
      </c>
      <c r="D492" t="s">
        <v>46</v>
      </c>
      <c r="E492" t="s">
        <v>41</v>
      </c>
      <c r="F492" t="s">
        <v>38</v>
      </c>
      <c r="G492">
        <f t="shared" si="64"/>
        <v>2</v>
      </c>
      <c r="H492">
        <v>0</v>
      </c>
      <c r="I492">
        <f t="shared" si="65"/>
        <v>0</v>
      </c>
      <c r="J492">
        <v>0</v>
      </c>
      <c r="K492">
        <f t="shared" si="71"/>
        <v>0</v>
      </c>
      <c r="L492">
        <f t="shared" si="72"/>
        <v>1</v>
      </c>
      <c r="M492">
        <v>0</v>
      </c>
      <c r="N492">
        <v>0</v>
      </c>
      <c r="O492">
        <v>0</v>
      </c>
      <c r="P492">
        <f t="shared" si="73"/>
        <v>0</v>
      </c>
      <c r="Q492">
        <f t="shared" si="74"/>
        <v>0</v>
      </c>
      <c r="R492">
        <f t="shared" si="75"/>
        <v>0</v>
      </c>
      <c r="S492">
        <v>0</v>
      </c>
      <c r="T492">
        <v>0</v>
      </c>
      <c r="U492">
        <v>0</v>
      </c>
      <c r="V492">
        <v>0</v>
      </c>
    </row>
    <row r="493" spans="1:22" x14ac:dyDescent="0.3">
      <c r="A493" t="s">
        <v>447</v>
      </c>
      <c r="B493" t="s">
        <v>474</v>
      </c>
      <c r="C493">
        <v>40</v>
      </c>
      <c r="D493" t="s">
        <v>46</v>
      </c>
      <c r="E493" t="s">
        <v>41</v>
      </c>
      <c r="F493" t="s">
        <v>38</v>
      </c>
      <c r="G493">
        <f t="shared" si="64"/>
        <v>2</v>
      </c>
      <c r="H493">
        <v>0</v>
      </c>
      <c r="I493">
        <f t="shared" si="65"/>
        <v>0</v>
      </c>
      <c r="J493">
        <v>0</v>
      </c>
      <c r="K493">
        <f t="shared" si="71"/>
        <v>0</v>
      </c>
      <c r="L493">
        <f t="shared" si="72"/>
        <v>1</v>
      </c>
      <c r="M493">
        <v>0</v>
      </c>
      <c r="N493">
        <v>0</v>
      </c>
      <c r="O493">
        <v>0</v>
      </c>
      <c r="P493">
        <f t="shared" si="73"/>
        <v>0</v>
      </c>
      <c r="Q493">
        <f t="shared" si="74"/>
        <v>0</v>
      </c>
      <c r="R493">
        <f t="shared" si="75"/>
        <v>0</v>
      </c>
      <c r="S493">
        <v>0</v>
      </c>
      <c r="T493">
        <v>0</v>
      </c>
      <c r="U493">
        <v>0</v>
      </c>
      <c r="V493">
        <v>0</v>
      </c>
    </row>
    <row r="494" spans="1:22" x14ac:dyDescent="0.3">
      <c r="A494" t="s">
        <v>447</v>
      </c>
      <c r="B494" t="s">
        <v>475</v>
      </c>
      <c r="C494">
        <v>37</v>
      </c>
      <c r="D494" t="s">
        <v>46</v>
      </c>
      <c r="E494" t="s">
        <v>41</v>
      </c>
      <c r="F494" t="s">
        <v>38</v>
      </c>
      <c r="G494">
        <f t="shared" si="64"/>
        <v>2</v>
      </c>
      <c r="H494">
        <v>2</v>
      </c>
      <c r="I494">
        <f t="shared" si="65"/>
        <v>0</v>
      </c>
      <c r="J494">
        <v>0</v>
      </c>
      <c r="K494">
        <f t="shared" si="71"/>
        <v>0</v>
      </c>
      <c r="L494">
        <f t="shared" si="72"/>
        <v>1</v>
      </c>
      <c r="M494">
        <v>0</v>
      </c>
      <c r="N494">
        <v>0</v>
      </c>
      <c r="O494">
        <v>0</v>
      </c>
      <c r="P494">
        <f t="shared" si="73"/>
        <v>0</v>
      </c>
      <c r="Q494">
        <f t="shared" si="74"/>
        <v>0</v>
      </c>
      <c r="R494">
        <f t="shared" si="75"/>
        <v>0</v>
      </c>
      <c r="S494">
        <v>0</v>
      </c>
      <c r="T494">
        <v>0</v>
      </c>
      <c r="U494">
        <v>0</v>
      </c>
      <c r="V494">
        <v>0</v>
      </c>
    </row>
    <row r="495" spans="1:22" x14ac:dyDescent="0.3">
      <c r="A495" t="s">
        <v>447</v>
      </c>
      <c r="B495" t="s">
        <v>526</v>
      </c>
      <c r="C495">
        <v>70</v>
      </c>
      <c r="D495" t="s">
        <v>46</v>
      </c>
      <c r="E495" t="s">
        <v>31</v>
      </c>
      <c r="F495" t="s">
        <v>65</v>
      </c>
      <c r="G495">
        <f t="shared" si="64"/>
        <v>3</v>
      </c>
      <c r="H495">
        <v>97</v>
      </c>
      <c r="I495">
        <f t="shared" si="65"/>
        <v>0</v>
      </c>
      <c r="J495">
        <v>0</v>
      </c>
      <c r="K495">
        <f t="shared" si="71"/>
        <v>0</v>
      </c>
      <c r="L495">
        <f t="shared" si="72"/>
        <v>1</v>
      </c>
      <c r="M495">
        <v>0</v>
      </c>
      <c r="N495">
        <v>0</v>
      </c>
      <c r="O495">
        <v>0</v>
      </c>
      <c r="P495">
        <f t="shared" si="73"/>
        <v>0</v>
      </c>
      <c r="Q495">
        <f t="shared" si="74"/>
        <v>0</v>
      </c>
      <c r="R495">
        <f t="shared" si="75"/>
        <v>0</v>
      </c>
      <c r="S495">
        <v>0</v>
      </c>
      <c r="T495">
        <v>0</v>
      </c>
      <c r="U495">
        <v>0</v>
      </c>
      <c r="V495">
        <v>0</v>
      </c>
    </row>
    <row r="496" spans="1:22" x14ac:dyDescent="0.3">
      <c r="A496" t="s">
        <v>447</v>
      </c>
      <c r="B496" t="s">
        <v>527</v>
      </c>
      <c r="C496">
        <v>28</v>
      </c>
      <c r="D496" t="s">
        <v>46</v>
      </c>
      <c r="E496" t="s">
        <v>28</v>
      </c>
      <c r="F496" t="s">
        <v>60</v>
      </c>
      <c r="G496">
        <f t="shared" si="64"/>
        <v>1</v>
      </c>
      <c r="H496">
        <v>146</v>
      </c>
      <c r="I496">
        <f t="shared" si="65"/>
        <v>0</v>
      </c>
      <c r="J496">
        <v>0</v>
      </c>
      <c r="K496">
        <f t="shared" si="71"/>
        <v>0</v>
      </c>
      <c r="L496">
        <f t="shared" si="72"/>
        <v>1</v>
      </c>
      <c r="M496">
        <v>0</v>
      </c>
      <c r="N496">
        <v>0</v>
      </c>
      <c r="O496">
        <v>0</v>
      </c>
      <c r="P496">
        <f t="shared" si="73"/>
        <v>0</v>
      </c>
      <c r="Q496">
        <f t="shared" si="74"/>
        <v>0</v>
      </c>
      <c r="R496">
        <f t="shared" si="75"/>
        <v>0</v>
      </c>
      <c r="S496">
        <v>0</v>
      </c>
      <c r="T496">
        <v>0</v>
      </c>
      <c r="U496">
        <v>0</v>
      </c>
      <c r="V496">
        <v>0</v>
      </c>
    </row>
    <row r="497" spans="1:22" x14ac:dyDescent="0.3">
      <c r="A497" t="s">
        <v>447</v>
      </c>
      <c r="B497" t="s">
        <v>528</v>
      </c>
      <c r="C497">
        <v>52</v>
      </c>
      <c r="D497" t="s">
        <v>46</v>
      </c>
      <c r="E497" t="s">
        <v>37</v>
      </c>
      <c r="F497" t="s">
        <v>60</v>
      </c>
      <c r="G497">
        <f t="shared" si="64"/>
        <v>1</v>
      </c>
      <c r="H497">
        <v>0</v>
      </c>
      <c r="I497">
        <f t="shared" si="65"/>
        <v>0</v>
      </c>
      <c r="J497">
        <v>0</v>
      </c>
      <c r="K497">
        <f t="shared" si="71"/>
        <v>0</v>
      </c>
      <c r="L497">
        <f t="shared" si="72"/>
        <v>1</v>
      </c>
      <c r="M497">
        <v>0</v>
      </c>
      <c r="N497">
        <v>0</v>
      </c>
      <c r="O497">
        <v>0</v>
      </c>
      <c r="P497">
        <f t="shared" si="73"/>
        <v>0</v>
      </c>
      <c r="Q497">
        <f t="shared" si="74"/>
        <v>0</v>
      </c>
      <c r="R497">
        <f t="shared" si="75"/>
        <v>0</v>
      </c>
      <c r="S497">
        <v>0</v>
      </c>
      <c r="T497">
        <v>0</v>
      </c>
      <c r="U497">
        <v>0</v>
      </c>
      <c r="V497">
        <v>0</v>
      </c>
    </row>
    <row r="498" spans="1:22" x14ac:dyDescent="0.3">
      <c r="A498" t="s">
        <v>447</v>
      </c>
      <c r="B498" t="s">
        <v>529</v>
      </c>
      <c r="C498">
        <v>29</v>
      </c>
      <c r="D498" t="s">
        <v>46</v>
      </c>
      <c r="E498" t="s">
        <v>41</v>
      </c>
      <c r="F498" t="s">
        <v>60</v>
      </c>
      <c r="G498">
        <f t="shared" si="64"/>
        <v>1</v>
      </c>
      <c r="H498">
        <v>0</v>
      </c>
      <c r="I498">
        <f t="shared" si="65"/>
        <v>0</v>
      </c>
      <c r="J498">
        <v>0</v>
      </c>
      <c r="K498">
        <f t="shared" si="71"/>
        <v>0</v>
      </c>
      <c r="L498">
        <f t="shared" si="72"/>
        <v>1</v>
      </c>
      <c r="M498">
        <v>0</v>
      </c>
      <c r="N498">
        <v>0</v>
      </c>
      <c r="O498">
        <v>0</v>
      </c>
      <c r="P498">
        <f t="shared" si="73"/>
        <v>0</v>
      </c>
      <c r="Q498">
        <f t="shared" si="74"/>
        <v>0</v>
      </c>
      <c r="R498">
        <f t="shared" si="75"/>
        <v>0</v>
      </c>
      <c r="S498">
        <v>0</v>
      </c>
      <c r="T498">
        <v>0</v>
      </c>
      <c r="U498">
        <v>0</v>
      </c>
      <c r="V498">
        <v>0</v>
      </c>
    </row>
    <row r="499" spans="1:22" x14ac:dyDescent="0.3">
      <c r="A499" t="s">
        <v>447</v>
      </c>
      <c r="B499" t="s">
        <v>467</v>
      </c>
      <c r="C499">
        <v>60</v>
      </c>
      <c r="D499" t="s">
        <v>46</v>
      </c>
      <c r="E499" t="s">
        <v>37</v>
      </c>
      <c r="F499" t="s">
        <v>38</v>
      </c>
      <c r="G499">
        <f t="shared" si="64"/>
        <v>2</v>
      </c>
      <c r="H499">
        <v>0</v>
      </c>
      <c r="I499">
        <f t="shared" si="65"/>
        <v>0</v>
      </c>
      <c r="J499">
        <v>0</v>
      </c>
      <c r="K499">
        <f t="shared" si="71"/>
        <v>0</v>
      </c>
      <c r="L499">
        <f t="shared" si="72"/>
        <v>1</v>
      </c>
      <c r="M499">
        <v>0</v>
      </c>
      <c r="N499">
        <v>0</v>
      </c>
      <c r="O499">
        <v>0</v>
      </c>
      <c r="P499">
        <f t="shared" si="73"/>
        <v>0</v>
      </c>
      <c r="Q499">
        <f t="shared" si="74"/>
        <v>0</v>
      </c>
      <c r="R499">
        <f t="shared" si="75"/>
        <v>0</v>
      </c>
      <c r="S499">
        <v>0</v>
      </c>
      <c r="T499">
        <v>0</v>
      </c>
      <c r="U499">
        <v>0</v>
      </c>
      <c r="V499">
        <v>0</v>
      </c>
    </row>
    <row r="500" spans="1:22" x14ac:dyDescent="0.3">
      <c r="A500" t="s">
        <v>447</v>
      </c>
      <c r="B500" t="s">
        <v>477</v>
      </c>
      <c r="C500">
        <v>66</v>
      </c>
      <c r="D500" t="s">
        <v>46</v>
      </c>
      <c r="E500" t="s">
        <v>37</v>
      </c>
      <c r="F500" t="s">
        <v>65</v>
      </c>
      <c r="G500">
        <f t="shared" si="64"/>
        <v>3</v>
      </c>
      <c r="H500">
        <v>1133</v>
      </c>
      <c r="I500">
        <f t="shared" si="65"/>
        <v>0</v>
      </c>
      <c r="J500">
        <v>0</v>
      </c>
      <c r="K500">
        <f t="shared" si="71"/>
        <v>0</v>
      </c>
      <c r="L500">
        <f t="shared" si="72"/>
        <v>1</v>
      </c>
      <c r="M500">
        <v>0</v>
      </c>
      <c r="N500">
        <v>0</v>
      </c>
      <c r="O500">
        <v>0</v>
      </c>
      <c r="P500">
        <f t="shared" si="73"/>
        <v>0</v>
      </c>
      <c r="Q500">
        <f t="shared" si="74"/>
        <v>0</v>
      </c>
      <c r="R500">
        <f t="shared" si="75"/>
        <v>0</v>
      </c>
      <c r="S500">
        <v>0</v>
      </c>
      <c r="T500">
        <v>0</v>
      </c>
      <c r="U500">
        <v>0</v>
      </c>
      <c r="V500">
        <v>0</v>
      </c>
    </row>
    <row r="501" spans="1:22" x14ac:dyDescent="0.3">
      <c r="A501" t="s">
        <v>447</v>
      </c>
      <c r="B501" t="s">
        <v>468</v>
      </c>
      <c r="C501">
        <v>70</v>
      </c>
      <c r="D501" t="s">
        <v>46</v>
      </c>
      <c r="E501" t="s">
        <v>25</v>
      </c>
      <c r="F501" t="s">
        <v>65</v>
      </c>
      <c r="G501">
        <f t="shared" si="64"/>
        <v>3</v>
      </c>
      <c r="H501">
        <v>1133</v>
      </c>
      <c r="I501">
        <f t="shared" si="65"/>
        <v>0</v>
      </c>
      <c r="J501">
        <v>0</v>
      </c>
      <c r="K501">
        <f t="shared" si="71"/>
        <v>0</v>
      </c>
      <c r="L501">
        <f t="shared" si="72"/>
        <v>1</v>
      </c>
      <c r="M501">
        <v>0</v>
      </c>
      <c r="N501">
        <v>0</v>
      </c>
      <c r="O501">
        <v>0</v>
      </c>
      <c r="P501">
        <f t="shared" si="73"/>
        <v>0</v>
      </c>
      <c r="Q501">
        <f t="shared" si="74"/>
        <v>0</v>
      </c>
      <c r="R501">
        <f t="shared" si="75"/>
        <v>0</v>
      </c>
      <c r="S501">
        <v>0</v>
      </c>
      <c r="T501">
        <v>0</v>
      </c>
      <c r="U501">
        <v>0</v>
      </c>
      <c r="V501">
        <v>0</v>
      </c>
    </row>
    <row r="502" spans="1:22" x14ac:dyDescent="0.3">
      <c r="A502" t="s">
        <v>447</v>
      </c>
      <c r="B502" t="s">
        <v>485</v>
      </c>
      <c r="C502">
        <v>64</v>
      </c>
      <c r="D502" t="s">
        <v>30</v>
      </c>
      <c r="E502" t="s">
        <v>37</v>
      </c>
      <c r="F502" t="s">
        <v>65</v>
      </c>
      <c r="G502">
        <f t="shared" si="64"/>
        <v>3</v>
      </c>
      <c r="H502">
        <v>1017</v>
      </c>
      <c r="I502">
        <f t="shared" si="65"/>
        <v>1</v>
      </c>
      <c r="J502">
        <v>0</v>
      </c>
      <c r="K502">
        <f t="shared" si="71"/>
        <v>0</v>
      </c>
      <c r="L502">
        <f t="shared" si="72"/>
        <v>1</v>
      </c>
      <c r="M502">
        <v>0</v>
      </c>
      <c r="N502">
        <v>0</v>
      </c>
      <c r="O502">
        <v>0</v>
      </c>
      <c r="P502">
        <f t="shared" si="73"/>
        <v>0</v>
      </c>
      <c r="Q502">
        <f t="shared" si="74"/>
        <v>0</v>
      </c>
      <c r="R502">
        <f t="shared" si="75"/>
        <v>0</v>
      </c>
      <c r="S502">
        <v>0</v>
      </c>
      <c r="T502">
        <v>0</v>
      </c>
      <c r="U502">
        <v>0</v>
      </c>
      <c r="V502">
        <v>0</v>
      </c>
    </row>
    <row r="503" spans="1:22" x14ac:dyDescent="0.3">
      <c r="A503" t="s">
        <v>447</v>
      </c>
      <c r="B503" t="s">
        <v>530</v>
      </c>
      <c r="C503">
        <v>71</v>
      </c>
      <c r="D503" t="s">
        <v>30</v>
      </c>
      <c r="E503" t="s">
        <v>31</v>
      </c>
      <c r="F503" t="s">
        <v>65</v>
      </c>
      <c r="G503">
        <f t="shared" si="64"/>
        <v>3</v>
      </c>
      <c r="H503">
        <v>1085</v>
      </c>
      <c r="I503">
        <f t="shared" si="65"/>
        <v>1</v>
      </c>
      <c r="J503">
        <v>0</v>
      </c>
      <c r="K503">
        <f t="shared" si="71"/>
        <v>0</v>
      </c>
      <c r="L503">
        <f t="shared" si="72"/>
        <v>1</v>
      </c>
      <c r="M503">
        <v>0</v>
      </c>
      <c r="N503">
        <v>0</v>
      </c>
      <c r="O503">
        <v>0</v>
      </c>
      <c r="P503">
        <f t="shared" si="73"/>
        <v>0</v>
      </c>
      <c r="Q503">
        <f t="shared" si="74"/>
        <v>0</v>
      </c>
      <c r="R503">
        <f t="shared" si="75"/>
        <v>0</v>
      </c>
      <c r="S503">
        <v>0</v>
      </c>
      <c r="T503">
        <v>0</v>
      </c>
      <c r="U503">
        <v>0</v>
      </c>
      <c r="V503">
        <v>0</v>
      </c>
    </row>
    <row r="504" spans="1:22" x14ac:dyDescent="0.3">
      <c r="A504" t="s">
        <v>447</v>
      </c>
      <c r="B504" t="s">
        <v>531</v>
      </c>
      <c r="C504">
        <v>39</v>
      </c>
      <c r="D504" t="s">
        <v>73</v>
      </c>
      <c r="E504" t="s">
        <v>31</v>
      </c>
      <c r="F504" t="s">
        <v>38</v>
      </c>
      <c r="G504">
        <f t="shared" si="64"/>
        <v>2</v>
      </c>
      <c r="H504">
        <v>698</v>
      </c>
      <c r="I504">
        <f t="shared" si="65"/>
        <v>1</v>
      </c>
      <c r="J504">
        <v>0</v>
      </c>
      <c r="K504">
        <f t="shared" si="71"/>
        <v>1</v>
      </c>
      <c r="L504">
        <f t="shared" si="72"/>
        <v>1</v>
      </c>
      <c r="M504">
        <v>0</v>
      </c>
      <c r="N504">
        <v>0</v>
      </c>
      <c r="O504">
        <v>0</v>
      </c>
      <c r="P504">
        <f t="shared" si="73"/>
        <v>0</v>
      </c>
      <c r="Q504">
        <f t="shared" si="74"/>
        <v>0</v>
      </c>
      <c r="R504">
        <f t="shared" si="75"/>
        <v>0</v>
      </c>
      <c r="S504">
        <v>0</v>
      </c>
      <c r="T504">
        <v>0</v>
      </c>
      <c r="U504">
        <v>0</v>
      </c>
      <c r="V504">
        <v>0</v>
      </c>
    </row>
    <row r="505" spans="1:22" x14ac:dyDescent="0.3">
      <c r="A505" t="s">
        <v>447</v>
      </c>
      <c r="B505" t="s">
        <v>504</v>
      </c>
      <c r="C505">
        <v>54</v>
      </c>
      <c r="D505" t="s">
        <v>56</v>
      </c>
      <c r="E505" t="s">
        <v>37</v>
      </c>
      <c r="F505" t="s">
        <v>65</v>
      </c>
      <c r="G505">
        <f t="shared" si="64"/>
        <v>3</v>
      </c>
      <c r="H505">
        <v>627</v>
      </c>
      <c r="I505">
        <f t="shared" si="65"/>
        <v>1</v>
      </c>
      <c r="J505">
        <v>0</v>
      </c>
      <c r="K505">
        <f t="shared" si="71"/>
        <v>0</v>
      </c>
      <c r="L505">
        <f t="shared" si="72"/>
        <v>1</v>
      </c>
      <c r="M505">
        <v>0</v>
      </c>
      <c r="N505">
        <v>0</v>
      </c>
      <c r="O505">
        <v>0</v>
      </c>
      <c r="P505">
        <f t="shared" si="73"/>
        <v>1</v>
      </c>
      <c r="Q505">
        <f t="shared" si="74"/>
        <v>0</v>
      </c>
      <c r="R505">
        <f t="shared" si="75"/>
        <v>0</v>
      </c>
      <c r="S505">
        <v>0</v>
      </c>
      <c r="T505">
        <v>0</v>
      </c>
      <c r="U505">
        <v>0</v>
      </c>
      <c r="V505">
        <v>0</v>
      </c>
    </row>
    <row r="506" spans="1:22" x14ac:dyDescent="0.3">
      <c r="A506" t="s">
        <v>447</v>
      </c>
      <c r="B506" t="s">
        <v>532</v>
      </c>
      <c r="C506">
        <v>79</v>
      </c>
      <c r="D506" t="s">
        <v>56</v>
      </c>
      <c r="E506" t="s">
        <v>28</v>
      </c>
      <c r="F506" t="s">
        <v>26</v>
      </c>
      <c r="G506">
        <f t="shared" si="64"/>
        <v>4</v>
      </c>
      <c r="H506">
        <v>452</v>
      </c>
      <c r="I506">
        <f t="shared" si="65"/>
        <v>1</v>
      </c>
      <c r="J506">
        <v>0</v>
      </c>
      <c r="K506">
        <f t="shared" si="71"/>
        <v>0</v>
      </c>
      <c r="L506">
        <f t="shared" si="72"/>
        <v>1</v>
      </c>
      <c r="M506">
        <v>0</v>
      </c>
      <c r="N506">
        <v>0</v>
      </c>
      <c r="O506">
        <v>0</v>
      </c>
      <c r="P506">
        <f t="shared" si="73"/>
        <v>1</v>
      </c>
      <c r="Q506">
        <f t="shared" si="74"/>
        <v>0</v>
      </c>
      <c r="R506">
        <f t="shared" si="75"/>
        <v>0</v>
      </c>
      <c r="S506">
        <v>0</v>
      </c>
      <c r="T506">
        <v>0</v>
      </c>
      <c r="U506">
        <v>0</v>
      </c>
      <c r="V506">
        <v>0</v>
      </c>
    </row>
    <row r="507" spans="1:22" x14ac:dyDescent="0.3">
      <c r="A507" t="s">
        <v>447</v>
      </c>
      <c r="B507" t="s">
        <v>533</v>
      </c>
      <c r="C507">
        <v>36</v>
      </c>
      <c r="D507" t="s">
        <v>73</v>
      </c>
      <c r="E507" t="s">
        <v>28</v>
      </c>
      <c r="F507" t="s">
        <v>38</v>
      </c>
      <c r="G507">
        <f t="shared" si="64"/>
        <v>2</v>
      </c>
      <c r="H507">
        <v>303</v>
      </c>
      <c r="I507">
        <f t="shared" si="65"/>
        <v>1</v>
      </c>
      <c r="J507">
        <v>0</v>
      </c>
      <c r="K507">
        <f t="shared" si="71"/>
        <v>1</v>
      </c>
      <c r="L507">
        <f t="shared" si="72"/>
        <v>1</v>
      </c>
      <c r="M507">
        <v>0</v>
      </c>
      <c r="N507">
        <v>0</v>
      </c>
      <c r="O507">
        <v>0</v>
      </c>
      <c r="P507">
        <f t="shared" si="73"/>
        <v>0</v>
      </c>
      <c r="Q507">
        <f t="shared" si="74"/>
        <v>0</v>
      </c>
      <c r="R507">
        <f t="shared" si="75"/>
        <v>0</v>
      </c>
      <c r="S507">
        <v>0</v>
      </c>
      <c r="T507">
        <v>0</v>
      </c>
      <c r="U507">
        <v>0</v>
      </c>
      <c r="V507">
        <v>0</v>
      </c>
    </row>
    <row r="508" spans="1:22" x14ac:dyDescent="0.3">
      <c r="A508" t="s">
        <v>447</v>
      </c>
      <c r="B508" t="s">
        <v>534</v>
      </c>
      <c r="C508">
        <v>37</v>
      </c>
      <c r="D508" t="s">
        <v>73</v>
      </c>
      <c r="E508" t="s">
        <v>28</v>
      </c>
      <c r="F508" t="s">
        <v>38</v>
      </c>
      <c r="G508">
        <f t="shared" si="64"/>
        <v>2</v>
      </c>
      <c r="H508">
        <v>452</v>
      </c>
      <c r="I508">
        <f t="shared" si="65"/>
        <v>1</v>
      </c>
      <c r="J508">
        <v>0</v>
      </c>
      <c r="K508">
        <f t="shared" si="71"/>
        <v>1</v>
      </c>
      <c r="L508">
        <f t="shared" si="72"/>
        <v>1</v>
      </c>
      <c r="M508">
        <v>0</v>
      </c>
      <c r="N508">
        <v>0</v>
      </c>
      <c r="O508">
        <v>0</v>
      </c>
      <c r="P508">
        <f t="shared" si="73"/>
        <v>0</v>
      </c>
      <c r="Q508">
        <f t="shared" si="74"/>
        <v>0</v>
      </c>
      <c r="R508">
        <f t="shared" si="75"/>
        <v>0</v>
      </c>
      <c r="S508">
        <v>0</v>
      </c>
      <c r="T508">
        <v>0</v>
      </c>
      <c r="U508">
        <v>0</v>
      </c>
      <c r="V508">
        <v>0</v>
      </c>
    </row>
    <row r="509" spans="1:22" x14ac:dyDescent="0.3">
      <c r="A509" t="s">
        <v>447</v>
      </c>
      <c r="B509" t="s">
        <v>535</v>
      </c>
      <c r="C509">
        <v>62</v>
      </c>
      <c r="D509" t="s">
        <v>30</v>
      </c>
      <c r="E509" t="s">
        <v>28</v>
      </c>
      <c r="F509" t="s">
        <v>65</v>
      </c>
      <c r="G509">
        <f t="shared" si="64"/>
        <v>3</v>
      </c>
      <c r="H509">
        <v>352</v>
      </c>
      <c r="I509">
        <f t="shared" si="65"/>
        <v>1</v>
      </c>
      <c r="J509">
        <v>0</v>
      </c>
      <c r="K509">
        <f t="shared" si="71"/>
        <v>0</v>
      </c>
      <c r="L509">
        <f t="shared" si="72"/>
        <v>1</v>
      </c>
      <c r="M509">
        <v>0</v>
      </c>
      <c r="N509">
        <v>0</v>
      </c>
      <c r="O509">
        <v>0</v>
      </c>
      <c r="P509">
        <f t="shared" si="73"/>
        <v>0</v>
      </c>
      <c r="Q509">
        <f t="shared" si="74"/>
        <v>0</v>
      </c>
      <c r="R509">
        <f t="shared" si="75"/>
        <v>0</v>
      </c>
      <c r="S509">
        <v>0</v>
      </c>
      <c r="T509">
        <v>0</v>
      </c>
      <c r="U509">
        <v>0</v>
      </c>
      <c r="V509">
        <v>0</v>
      </c>
    </row>
    <row r="510" spans="1:22" x14ac:dyDescent="0.3">
      <c r="A510" t="s">
        <v>447</v>
      </c>
      <c r="B510" t="s">
        <v>536</v>
      </c>
      <c r="C510">
        <v>64</v>
      </c>
      <c r="D510" t="s">
        <v>30</v>
      </c>
      <c r="E510" t="s">
        <v>28</v>
      </c>
      <c r="F510" t="s">
        <v>65</v>
      </c>
      <c r="G510">
        <f t="shared" si="64"/>
        <v>3</v>
      </c>
      <c r="H510">
        <v>106</v>
      </c>
      <c r="I510">
        <f t="shared" si="65"/>
        <v>1</v>
      </c>
      <c r="J510">
        <v>0</v>
      </c>
      <c r="K510">
        <f t="shared" si="71"/>
        <v>0</v>
      </c>
      <c r="L510">
        <f t="shared" si="72"/>
        <v>1</v>
      </c>
      <c r="M510">
        <v>0</v>
      </c>
      <c r="N510">
        <v>0</v>
      </c>
      <c r="O510">
        <v>0</v>
      </c>
      <c r="P510">
        <f t="shared" si="73"/>
        <v>0</v>
      </c>
      <c r="Q510">
        <f t="shared" si="74"/>
        <v>0</v>
      </c>
      <c r="R510">
        <f t="shared" si="75"/>
        <v>0</v>
      </c>
      <c r="S510">
        <v>0</v>
      </c>
      <c r="T510">
        <v>0</v>
      </c>
      <c r="U510">
        <v>0</v>
      </c>
      <c r="V510">
        <v>0</v>
      </c>
    </row>
    <row r="511" spans="1:22" x14ac:dyDescent="0.3">
      <c r="A511" t="s">
        <v>447</v>
      </c>
      <c r="B511" t="s">
        <v>537</v>
      </c>
      <c r="C511">
        <v>45</v>
      </c>
      <c r="D511" t="s">
        <v>54</v>
      </c>
      <c r="E511" t="s">
        <v>34</v>
      </c>
      <c r="F511" t="s">
        <v>38</v>
      </c>
      <c r="G511">
        <f t="shared" si="64"/>
        <v>2</v>
      </c>
      <c r="H511">
        <v>228</v>
      </c>
      <c r="I511">
        <f t="shared" si="65"/>
        <v>1</v>
      </c>
      <c r="J511">
        <v>0</v>
      </c>
      <c r="K511">
        <f t="shared" si="71"/>
        <v>0</v>
      </c>
      <c r="L511">
        <f t="shared" si="72"/>
        <v>1</v>
      </c>
      <c r="M511">
        <v>0</v>
      </c>
      <c r="N511">
        <v>0</v>
      </c>
      <c r="O511">
        <v>0</v>
      </c>
      <c r="P511">
        <f t="shared" si="73"/>
        <v>0</v>
      </c>
      <c r="Q511">
        <f t="shared" si="74"/>
        <v>0</v>
      </c>
      <c r="R511">
        <f t="shared" si="75"/>
        <v>0</v>
      </c>
      <c r="S511">
        <v>0</v>
      </c>
      <c r="T511">
        <v>0</v>
      </c>
      <c r="U511">
        <v>0</v>
      </c>
      <c r="V511">
        <v>0</v>
      </c>
    </row>
    <row r="512" spans="1:22" x14ac:dyDescent="0.3">
      <c r="A512" t="s">
        <v>447</v>
      </c>
      <c r="B512" t="s">
        <v>538</v>
      </c>
      <c r="C512">
        <v>44</v>
      </c>
      <c r="D512" t="s">
        <v>30</v>
      </c>
      <c r="E512" t="s">
        <v>31</v>
      </c>
      <c r="F512" t="s">
        <v>38</v>
      </c>
      <c r="G512">
        <f t="shared" si="64"/>
        <v>2</v>
      </c>
      <c r="H512">
        <v>212</v>
      </c>
      <c r="I512">
        <f t="shared" si="65"/>
        <v>1</v>
      </c>
      <c r="J512">
        <v>0</v>
      </c>
      <c r="K512">
        <f t="shared" si="71"/>
        <v>0</v>
      </c>
      <c r="L512">
        <f t="shared" si="72"/>
        <v>1</v>
      </c>
      <c r="M512">
        <v>0</v>
      </c>
      <c r="N512">
        <v>0</v>
      </c>
      <c r="O512">
        <v>0</v>
      </c>
      <c r="P512">
        <f t="shared" si="73"/>
        <v>0</v>
      </c>
      <c r="Q512">
        <f t="shared" si="74"/>
        <v>0</v>
      </c>
      <c r="R512">
        <f t="shared" si="75"/>
        <v>0</v>
      </c>
      <c r="S512">
        <v>0</v>
      </c>
      <c r="T512">
        <v>0</v>
      </c>
      <c r="U512">
        <v>0</v>
      </c>
      <c r="V512">
        <v>0</v>
      </c>
    </row>
    <row r="513" spans="1:22" x14ac:dyDescent="0.3">
      <c r="A513" t="s">
        <v>447</v>
      </c>
      <c r="B513" t="s">
        <v>494</v>
      </c>
      <c r="C513">
        <v>41</v>
      </c>
      <c r="D513" t="s">
        <v>73</v>
      </c>
      <c r="E513" t="s">
        <v>41</v>
      </c>
      <c r="F513" t="s">
        <v>65</v>
      </c>
      <c r="G513">
        <f t="shared" si="64"/>
        <v>3</v>
      </c>
      <c r="H513">
        <v>336</v>
      </c>
      <c r="I513">
        <f t="shared" si="65"/>
        <v>1</v>
      </c>
      <c r="J513">
        <v>0</v>
      </c>
      <c r="K513">
        <f t="shared" si="71"/>
        <v>1</v>
      </c>
      <c r="L513">
        <f t="shared" si="72"/>
        <v>1</v>
      </c>
      <c r="M513">
        <v>0</v>
      </c>
      <c r="N513">
        <v>0</v>
      </c>
      <c r="O513">
        <v>0</v>
      </c>
      <c r="P513">
        <f t="shared" si="73"/>
        <v>0</v>
      </c>
      <c r="Q513">
        <f t="shared" si="74"/>
        <v>0</v>
      </c>
      <c r="R513">
        <f t="shared" si="75"/>
        <v>0</v>
      </c>
      <c r="S513">
        <v>0</v>
      </c>
      <c r="T513">
        <v>0</v>
      </c>
      <c r="U513">
        <v>0</v>
      </c>
      <c r="V513">
        <v>0</v>
      </c>
    </row>
    <row r="514" spans="1:22" x14ac:dyDescent="0.3">
      <c r="A514" t="s">
        <v>447</v>
      </c>
      <c r="B514" t="s">
        <v>539</v>
      </c>
      <c r="C514">
        <v>21</v>
      </c>
      <c r="D514" t="s">
        <v>73</v>
      </c>
      <c r="E514" t="s">
        <v>34</v>
      </c>
      <c r="F514" t="s">
        <v>60</v>
      </c>
      <c r="G514">
        <f t="shared" si="64"/>
        <v>1</v>
      </c>
      <c r="H514">
        <v>117</v>
      </c>
      <c r="I514">
        <f t="shared" si="65"/>
        <v>1</v>
      </c>
      <c r="J514">
        <v>0</v>
      </c>
      <c r="K514">
        <f t="shared" si="71"/>
        <v>1</v>
      </c>
      <c r="L514">
        <f t="shared" si="72"/>
        <v>1</v>
      </c>
      <c r="M514">
        <v>0</v>
      </c>
      <c r="N514">
        <v>0</v>
      </c>
      <c r="O514">
        <v>0</v>
      </c>
      <c r="P514">
        <f t="shared" si="73"/>
        <v>0</v>
      </c>
      <c r="Q514">
        <f t="shared" si="74"/>
        <v>0</v>
      </c>
      <c r="R514">
        <f t="shared" si="75"/>
        <v>0</v>
      </c>
      <c r="S514">
        <v>0</v>
      </c>
      <c r="T514">
        <v>0</v>
      </c>
      <c r="U514">
        <v>0</v>
      </c>
      <c r="V514">
        <v>0</v>
      </c>
    </row>
    <row r="515" spans="1:22" x14ac:dyDescent="0.3">
      <c r="A515" t="s">
        <v>447</v>
      </c>
      <c r="B515" t="s">
        <v>540</v>
      </c>
      <c r="C515">
        <v>52</v>
      </c>
      <c r="D515" t="s">
        <v>73</v>
      </c>
      <c r="E515" t="s">
        <v>31</v>
      </c>
      <c r="F515" t="s">
        <v>65</v>
      </c>
      <c r="G515">
        <f t="shared" si="64"/>
        <v>3</v>
      </c>
      <c r="H515">
        <v>15</v>
      </c>
      <c r="I515">
        <f t="shared" si="65"/>
        <v>1</v>
      </c>
      <c r="J515">
        <v>0</v>
      </c>
      <c r="K515">
        <f t="shared" si="71"/>
        <v>1</v>
      </c>
      <c r="L515">
        <f t="shared" si="72"/>
        <v>1</v>
      </c>
      <c r="M515">
        <v>0</v>
      </c>
      <c r="N515">
        <v>0</v>
      </c>
      <c r="O515">
        <v>0</v>
      </c>
      <c r="P515">
        <f t="shared" si="73"/>
        <v>0</v>
      </c>
      <c r="Q515">
        <f t="shared" si="74"/>
        <v>0</v>
      </c>
      <c r="R515">
        <f t="shared" si="75"/>
        <v>0</v>
      </c>
      <c r="S515">
        <v>0</v>
      </c>
      <c r="T515">
        <v>0</v>
      </c>
      <c r="U515">
        <v>0</v>
      </c>
      <c r="V515">
        <v>0</v>
      </c>
    </row>
    <row r="516" spans="1:22" x14ac:dyDescent="0.3">
      <c r="A516" t="s">
        <v>447</v>
      </c>
      <c r="B516" t="s">
        <v>541</v>
      </c>
      <c r="C516">
        <v>23</v>
      </c>
      <c r="D516" t="s">
        <v>73</v>
      </c>
      <c r="E516" t="s">
        <v>34</v>
      </c>
      <c r="F516" t="s">
        <v>60</v>
      </c>
      <c r="G516">
        <f t="shared" si="64"/>
        <v>1</v>
      </c>
      <c r="H516">
        <v>0</v>
      </c>
      <c r="I516">
        <f t="shared" si="65"/>
        <v>1</v>
      </c>
      <c r="J516">
        <v>0</v>
      </c>
      <c r="K516">
        <f t="shared" si="71"/>
        <v>1</v>
      </c>
      <c r="L516">
        <f t="shared" si="72"/>
        <v>1</v>
      </c>
      <c r="M516">
        <v>0</v>
      </c>
      <c r="N516">
        <v>0</v>
      </c>
      <c r="O516">
        <v>0</v>
      </c>
      <c r="P516">
        <f t="shared" si="73"/>
        <v>0</v>
      </c>
      <c r="Q516">
        <f t="shared" si="74"/>
        <v>0</v>
      </c>
      <c r="R516">
        <f t="shared" si="75"/>
        <v>0</v>
      </c>
      <c r="S516">
        <v>0</v>
      </c>
      <c r="T516">
        <v>0</v>
      </c>
      <c r="U516">
        <v>0</v>
      </c>
      <c r="V516">
        <v>0</v>
      </c>
    </row>
    <row r="517" spans="1:22" x14ac:dyDescent="0.3">
      <c r="A517" t="s">
        <v>447</v>
      </c>
      <c r="B517" t="s">
        <v>542</v>
      </c>
      <c r="C517">
        <v>28</v>
      </c>
      <c r="D517" t="s">
        <v>30</v>
      </c>
      <c r="E517" t="s">
        <v>34</v>
      </c>
      <c r="F517" t="s">
        <v>60</v>
      </c>
      <c r="G517">
        <f t="shared" si="64"/>
        <v>1</v>
      </c>
      <c r="H517">
        <v>0</v>
      </c>
      <c r="I517">
        <f t="shared" si="65"/>
        <v>1</v>
      </c>
      <c r="J517">
        <v>0</v>
      </c>
      <c r="K517">
        <f t="shared" si="71"/>
        <v>0</v>
      </c>
      <c r="L517">
        <f t="shared" si="72"/>
        <v>1</v>
      </c>
      <c r="M517">
        <v>0</v>
      </c>
      <c r="N517">
        <v>0</v>
      </c>
      <c r="O517">
        <v>0</v>
      </c>
      <c r="P517">
        <f t="shared" si="73"/>
        <v>0</v>
      </c>
      <c r="Q517">
        <f t="shared" si="74"/>
        <v>0</v>
      </c>
      <c r="R517">
        <f t="shared" si="75"/>
        <v>0</v>
      </c>
      <c r="S517">
        <v>0</v>
      </c>
      <c r="T517">
        <v>0</v>
      </c>
      <c r="U517">
        <v>0</v>
      </c>
      <c r="V517">
        <v>0</v>
      </c>
    </row>
    <row r="518" spans="1:22" x14ac:dyDescent="0.3">
      <c r="A518" t="s">
        <v>447</v>
      </c>
      <c r="B518" t="s">
        <v>478</v>
      </c>
      <c r="C518">
        <v>38</v>
      </c>
      <c r="D518" t="s">
        <v>73</v>
      </c>
      <c r="E518" t="s">
        <v>34</v>
      </c>
      <c r="F518" t="s">
        <v>38</v>
      </c>
      <c r="G518">
        <f t="shared" si="64"/>
        <v>2</v>
      </c>
      <c r="H518">
        <v>0</v>
      </c>
      <c r="I518">
        <f t="shared" si="65"/>
        <v>1</v>
      </c>
      <c r="J518">
        <v>0</v>
      </c>
      <c r="K518">
        <f t="shared" si="71"/>
        <v>1</v>
      </c>
      <c r="L518">
        <f t="shared" si="72"/>
        <v>1</v>
      </c>
      <c r="M518">
        <v>0</v>
      </c>
      <c r="N518">
        <v>0</v>
      </c>
      <c r="O518">
        <v>0</v>
      </c>
      <c r="P518">
        <f t="shared" si="73"/>
        <v>0</v>
      </c>
      <c r="Q518">
        <f t="shared" si="74"/>
        <v>0</v>
      </c>
      <c r="R518">
        <f t="shared" si="75"/>
        <v>0</v>
      </c>
      <c r="S518">
        <v>0</v>
      </c>
      <c r="T518">
        <v>0</v>
      </c>
      <c r="U518">
        <v>0</v>
      </c>
      <c r="V518">
        <v>0</v>
      </c>
    </row>
    <row r="519" spans="1:22" x14ac:dyDescent="0.3">
      <c r="A519" t="s">
        <v>447</v>
      </c>
      <c r="B519" t="s">
        <v>543</v>
      </c>
      <c r="C519">
        <v>78</v>
      </c>
      <c r="D519" t="s">
        <v>56</v>
      </c>
      <c r="E519" t="s">
        <v>31</v>
      </c>
      <c r="F519" t="s">
        <v>26</v>
      </c>
      <c r="G519">
        <f t="shared" si="64"/>
        <v>4</v>
      </c>
      <c r="H519">
        <v>23</v>
      </c>
      <c r="I519">
        <f t="shared" si="65"/>
        <v>1</v>
      </c>
      <c r="J519">
        <v>0</v>
      </c>
      <c r="K519">
        <f t="shared" si="71"/>
        <v>0</v>
      </c>
      <c r="L519">
        <f t="shared" si="72"/>
        <v>1</v>
      </c>
      <c r="M519">
        <v>0</v>
      </c>
      <c r="N519">
        <v>0</v>
      </c>
      <c r="O519">
        <v>0</v>
      </c>
      <c r="P519">
        <f t="shared" si="73"/>
        <v>1</v>
      </c>
      <c r="Q519">
        <f t="shared" si="74"/>
        <v>0</v>
      </c>
      <c r="R519">
        <f t="shared" si="75"/>
        <v>0</v>
      </c>
      <c r="S519">
        <v>0</v>
      </c>
      <c r="T519">
        <v>0</v>
      </c>
      <c r="U519">
        <v>0</v>
      </c>
      <c r="V519">
        <v>0</v>
      </c>
    </row>
    <row r="520" spans="1:22" x14ac:dyDescent="0.3">
      <c r="A520" t="s">
        <v>447</v>
      </c>
      <c r="B520" t="s">
        <v>544</v>
      </c>
      <c r="C520">
        <v>60</v>
      </c>
      <c r="D520" t="s">
        <v>30</v>
      </c>
      <c r="E520" t="s">
        <v>31</v>
      </c>
      <c r="F520" t="s">
        <v>65</v>
      </c>
      <c r="G520">
        <f t="shared" si="64"/>
        <v>3</v>
      </c>
      <c r="H520">
        <v>0</v>
      </c>
      <c r="I520">
        <f t="shared" si="65"/>
        <v>1</v>
      </c>
      <c r="J520">
        <v>0</v>
      </c>
      <c r="K520">
        <f t="shared" si="71"/>
        <v>0</v>
      </c>
      <c r="L520">
        <f t="shared" si="72"/>
        <v>1</v>
      </c>
      <c r="M520">
        <v>0</v>
      </c>
      <c r="N520">
        <v>0</v>
      </c>
      <c r="O520">
        <v>0</v>
      </c>
      <c r="P520">
        <f t="shared" si="73"/>
        <v>0</v>
      </c>
      <c r="Q520">
        <f t="shared" si="74"/>
        <v>0</v>
      </c>
      <c r="R520">
        <f t="shared" si="75"/>
        <v>0</v>
      </c>
      <c r="S520">
        <v>0</v>
      </c>
      <c r="T520">
        <v>0</v>
      </c>
      <c r="U520">
        <v>0</v>
      </c>
      <c r="V520">
        <v>0</v>
      </c>
    </row>
    <row r="521" spans="1:22" x14ac:dyDescent="0.3">
      <c r="A521" t="s">
        <v>447</v>
      </c>
      <c r="B521" t="s">
        <v>545</v>
      </c>
      <c r="C521">
        <v>20</v>
      </c>
      <c r="D521" t="s">
        <v>73</v>
      </c>
      <c r="E521" t="s">
        <v>31</v>
      </c>
      <c r="F521" t="s">
        <v>60</v>
      </c>
      <c r="G521">
        <f t="shared" si="64"/>
        <v>1</v>
      </c>
      <c r="H521">
        <v>0</v>
      </c>
      <c r="I521">
        <f t="shared" si="65"/>
        <v>1</v>
      </c>
      <c r="J521">
        <v>0</v>
      </c>
      <c r="K521">
        <f t="shared" si="71"/>
        <v>1</v>
      </c>
      <c r="L521">
        <f t="shared" si="72"/>
        <v>1</v>
      </c>
      <c r="M521">
        <v>0</v>
      </c>
      <c r="N521">
        <v>0</v>
      </c>
      <c r="O521">
        <v>0</v>
      </c>
      <c r="P521">
        <f t="shared" si="73"/>
        <v>0</v>
      </c>
      <c r="Q521">
        <f t="shared" si="74"/>
        <v>0</v>
      </c>
      <c r="R521">
        <f t="shared" si="75"/>
        <v>0</v>
      </c>
      <c r="S521">
        <v>0</v>
      </c>
      <c r="T521">
        <v>0</v>
      </c>
      <c r="U521">
        <v>0</v>
      </c>
      <c r="V521">
        <v>0</v>
      </c>
    </row>
    <row r="522" spans="1:22" x14ac:dyDescent="0.3">
      <c r="A522" t="s">
        <v>447</v>
      </c>
      <c r="B522" t="s">
        <v>546</v>
      </c>
      <c r="C522">
        <v>66</v>
      </c>
      <c r="D522" t="s">
        <v>73</v>
      </c>
      <c r="E522" t="s">
        <v>31</v>
      </c>
      <c r="F522" t="s">
        <v>26</v>
      </c>
      <c r="G522">
        <f t="shared" si="64"/>
        <v>4</v>
      </c>
      <c r="H522">
        <v>0</v>
      </c>
      <c r="I522">
        <f t="shared" si="65"/>
        <v>1</v>
      </c>
      <c r="J522">
        <v>0</v>
      </c>
      <c r="K522">
        <f t="shared" si="71"/>
        <v>1</v>
      </c>
      <c r="L522">
        <f t="shared" si="72"/>
        <v>1</v>
      </c>
      <c r="M522">
        <v>0</v>
      </c>
      <c r="N522">
        <v>0</v>
      </c>
      <c r="O522">
        <v>0</v>
      </c>
      <c r="P522">
        <f t="shared" si="73"/>
        <v>0</v>
      </c>
      <c r="Q522">
        <f t="shared" si="74"/>
        <v>0</v>
      </c>
      <c r="R522">
        <f t="shared" si="75"/>
        <v>0</v>
      </c>
      <c r="S522">
        <v>0</v>
      </c>
      <c r="T522">
        <v>0</v>
      </c>
      <c r="U522">
        <v>0</v>
      </c>
      <c r="V522">
        <v>0</v>
      </c>
    </row>
    <row r="523" spans="1:22" x14ac:dyDescent="0.3">
      <c r="A523" t="s">
        <v>447</v>
      </c>
      <c r="B523" t="s">
        <v>547</v>
      </c>
      <c r="C523">
        <v>62</v>
      </c>
      <c r="D523" t="s">
        <v>56</v>
      </c>
      <c r="E523" t="s">
        <v>31</v>
      </c>
      <c r="F523" t="s">
        <v>65</v>
      </c>
      <c r="G523">
        <f t="shared" si="64"/>
        <v>3</v>
      </c>
      <c r="H523">
        <v>0</v>
      </c>
      <c r="I523">
        <f t="shared" si="65"/>
        <v>1</v>
      </c>
      <c r="J523">
        <v>0</v>
      </c>
      <c r="K523">
        <f t="shared" si="71"/>
        <v>0</v>
      </c>
      <c r="L523">
        <f t="shared" si="72"/>
        <v>1</v>
      </c>
      <c r="M523">
        <v>0</v>
      </c>
      <c r="N523">
        <v>0</v>
      </c>
      <c r="O523">
        <v>0</v>
      </c>
      <c r="P523">
        <f t="shared" si="73"/>
        <v>1</v>
      </c>
      <c r="Q523">
        <f t="shared" si="74"/>
        <v>0</v>
      </c>
      <c r="R523">
        <f t="shared" si="75"/>
        <v>0</v>
      </c>
      <c r="S523">
        <v>0</v>
      </c>
      <c r="T523">
        <v>0</v>
      </c>
      <c r="U523">
        <v>0</v>
      </c>
      <c r="V523">
        <v>0</v>
      </c>
    </row>
    <row r="524" spans="1:22" x14ac:dyDescent="0.3">
      <c r="A524" t="s">
        <v>447</v>
      </c>
      <c r="B524" t="s">
        <v>548</v>
      </c>
      <c r="C524">
        <v>66</v>
      </c>
      <c r="D524" t="s">
        <v>56</v>
      </c>
      <c r="E524" t="s">
        <v>31</v>
      </c>
      <c r="F524" t="s">
        <v>26</v>
      </c>
      <c r="G524">
        <f t="shared" si="64"/>
        <v>4</v>
      </c>
      <c r="H524">
        <v>0</v>
      </c>
      <c r="I524">
        <f t="shared" si="65"/>
        <v>1</v>
      </c>
      <c r="J524">
        <v>0</v>
      </c>
      <c r="K524">
        <f t="shared" si="71"/>
        <v>0</v>
      </c>
      <c r="L524">
        <f t="shared" si="72"/>
        <v>1</v>
      </c>
      <c r="M524">
        <v>0</v>
      </c>
      <c r="N524">
        <v>0</v>
      </c>
      <c r="O524">
        <v>0</v>
      </c>
      <c r="P524">
        <f t="shared" si="73"/>
        <v>1</v>
      </c>
      <c r="Q524">
        <f t="shared" si="74"/>
        <v>0</v>
      </c>
      <c r="R524">
        <f t="shared" si="75"/>
        <v>0</v>
      </c>
      <c r="S524">
        <v>0</v>
      </c>
      <c r="T524">
        <v>0</v>
      </c>
      <c r="U524">
        <v>0</v>
      </c>
      <c r="V524">
        <v>0</v>
      </c>
    </row>
    <row r="525" spans="1:22" x14ac:dyDescent="0.3">
      <c r="A525" t="s">
        <v>447</v>
      </c>
      <c r="B525" t="s">
        <v>549</v>
      </c>
      <c r="C525">
        <v>53</v>
      </c>
      <c r="D525" t="s">
        <v>73</v>
      </c>
      <c r="E525" t="s">
        <v>31</v>
      </c>
      <c r="F525" t="s">
        <v>65</v>
      </c>
      <c r="G525">
        <f t="shared" si="64"/>
        <v>3</v>
      </c>
      <c r="H525">
        <v>0</v>
      </c>
      <c r="I525">
        <f t="shared" si="65"/>
        <v>1</v>
      </c>
      <c r="J525">
        <v>0</v>
      </c>
      <c r="K525">
        <f t="shared" si="71"/>
        <v>1</v>
      </c>
      <c r="L525">
        <f t="shared" si="72"/>
        <v>1</v>
      </c>
      <c r="M525">
        <v>0</v>
      </c>
      <c r="N525">
        <v>0</v>
      </c>
      <c r="O525">
        <v>0</v>
      </c>
      <c r="P525">
        <f t="shared" si="73"/>
        <v>0</v>
      </c>
      <c r="Q525">
        <f t="shared" si="74"/>
        <v>0</v>
      </c>
      <c r="R525">
        <f t="shared" si="75"/>
        <v>0</v>
      </c>
      <c r="S525">
        <v>0</v>
      </c>
      <c r="T525">
        <v>0</v>
      </c>
      <c r="U525">
        <v>0</v>
      </c>
      <c r="V525">
        <v>0</v>
      </c>
    </row>
    <row r="526" spans="1:22" x14ac:dyDescent="0.3">
      <c r="A526" t="s">
        <v>447</v>
      </c>
      <c r="B526" t="s">
        <v>550</v>
      </c>
      <c r="C526">
        <v>39</v>
      </c>
      <c r="D526" t="s">
        <v>56</v>
      </c>
      <c r="E526" t="s">
        <v>31</v>
      </c>
      <c r="F526" t="s">
        <v>38</v>
      </c>
      <c r="G526">
        <f t="shared" si="64"/>
        <v>2</v>
      </c>
      <c r="H526">
        <v>0</v>
      </c>
      <c r="I526">
        <f t="shared" si="65"/>
        <v>1</v>
      </c>
      <c r="J526">
        <v>0</v>
      </c>
      <c r="K526">
        <f t="shared" si="71"/>
        <v>0</v>
      </c>
      <c r="L526">
        <f t="shared" si="72"/>
        <v>1</v>
      </c>
      <c r="M526">
        <v>0</v>
      </c>
      <c r="N526">
        <v>0</v>
      </c>
      <c r="O526">
        <v>0</v>
      </c>
      <c r="P526">
        <f t="shared" si="73"/>
        <v>1</v>
      </c>
      <c r="Q526">
        <f t="shared" si="74"/>
        <v>0</v>
      </c>
      <c r="R526">
        <f t="shared" si="75"/>
        <v>0</v>
      </c>
      <c r="S526">
        <v>0</v>
      </c>
      <c r="T526">
        <v>0</v>
      </c>
      <c r="U526">
        <v>0</v>
      </c>
      <c r="V526">
        <v>0</v>
      </c>
    </row>
    <row r="527" spans="1:22" x14ac:dyDescent="0.3">
      <c r="A527" t="s">
        <v>447</v>
      </c>
      <c r="B527" t="s">
        <v>503</v>
      </c>
      <c r="C527">
        <v>35</v>
      </c>
      <c r="D527" t="s">
        <v>56</v>
      </c>
      <c r="E527" t="s">
        <v>37</v>
      </c>
      <c r="F527" t="s">
        <v>38</v>
      </c>
      <c r="G527">
        <f t="shared" si="64"/>
        <v>2</v>
      </c>
      <c r="H527">
        <v>0</v>
      </c>
      <c r="I527">
        <f t="shared" si="65"/>
        <v>1</v>
      </c>
      <c r="J527">
        <v>0</v>
      </c>
      <c r="K527">
        <f t="shared" si="71"/>
        <v>0</v>
      </c>
      <c r="L527">
        <f t="shared" si="72"/>
        <v>1</v>
      </c>
      <c r="M527">
        <v>0</v>
      </c>
      <c r="N527">
        <v>0</v>
      </c>
      <c r="O527">
        <v>0</v>
      </c>
      <c r="P527">
        <f t="shared" si="73"/>
        <v>1</v>
      </c>
      <c r="Q527">
        <f t="shared" si="74"/>
        <v>0</v>
      </c>
      <c r="R527">
        <f t="shared" si="75"/>
        <v>0</v>
      </c>
      <c r="S527">
        <v>0</v>
      </c>
      <c r="T527">
        <v>0</v>
      </c>
      <c r="U527">
        <v>0</v>
      </c>
      <c r="V527">
        <v>0</v>
      </c>
    </row>
    <row r="528" spans="1:22" x14ac:dyDescent="0.3">
      <c r="A528" t="s">
        <v>447</v>
      </c>
      <c r="B528" t="s">
        <v>495</v>
      </c>
      <c r="C528">
        <v>32</v>
      </c>
      <c r="D528" t="s">
        <v>73</v>
      </c>
      <c r="E528" t="s">
        <v>41</v>
      </c>
      <c r="F528" t="s">
        <v>38</v>
      </c>
      <c r="G528">
        <f t="shared" si="64"/>
        <v>2</v>
      </c>
      <c r="H528">
        <v>0</v>
      </c>
      <c r="I528">
        <f t="shared" si="65"/>
        <v>1</v>
      </c>
      <c r="J528">
        <v>0</v>
      </c>
      <c r="K528">
        <f t="shared" si="71"/>
        <v>1</v>
      </c>
      <c r="L528">
        <f t="shared" si="72"/>
        <v>1</v>
      </c>
      <c r="M528">
        <v>0</v>
      </c>
      <c r="N528">
        <v>0</v>
      </c>
      <c r="O528">
        <v>0</v>
      </c>
      <c r="P528">
        <f t="shared" si="73"/>
        <v>0</v>
      </c>
      <c r="Q528">
        <f t="shared" si="74"/>
        <v>0</v>
      </c>
      <c r="R528">
        <f t="shared" si="75"/>
        <v>0</v>
      </c>
      <c r="S528">
        <v>0</v>
      </c>
      <c r="T528">
        <v>0</v>
      </c>
      <c r="U528">
        <v>0</v>
      </c>
      <c r="V528">
        <v>0</v>
      </c>
    </row>
    <row r="529" spans="1:22" x14ac:dyDescent="0.3">
      <c r="A529" t="s">
        <v>447</v>
      </c>
      <c r="B529" t="s">
        <v>498</v>
      </c>
      <c r="C529">
        <v>56</v>
      </c>
      <c r="D529" t="s">
        <v>56</v>
      </c>
      <c r="E529" t="s">
        <v>41</v>
      </c>
      <c r="F529" t="s">
        <v>65</v>
      </c>
      <c r="G529">
        <f t="shared" si="64"/>
        <v>3</v>
      </c>
      <c r="H529">
        <v>57</v>
      </c>
      <c r="I529">
        <f t="shared" si="65"/>
        <v>1</v>
      </c>
      <c r="J529">
        <v>0</v>
      </c>
      <c r="K529">
        <f t="shared" si="71"/>
        <v>0</v>
      </c>
      <c r="L529">
        <f t="shared" si="72"/>
        <v>1</v>
      </c>
      <c r="M529">
        <v>0</v>
      </c>
      <c r="N529">
        <v>0</v>
      </c>
      <c r="O529">
        <v>0</v>
      </c>
      <c r="P529">
        <f t="shared" si="73"/>
        <v>1</v>
      </c>
      <c r="Q529">
        <f t="shared" si="74"/>
        <v>0</v>
      </c>
      <c r="R529">
        <f t="shared" si="75"/>
        <v>0</v>
      </c>
      <c r="S529">
        <v>0</v>
      </c>
      <c r="T529">
        <v>0</v>
      </c>
      <c r="U529">
        <v>0</v>
      </c>
      <c r="V5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Swanner</dc:creator>
  <cp:lastModifiedBy>Alex Swanner</cp:lastModifiedBy>
  <dcterms:created xsi:type="dcterms:W3CDTF">2025-11-09T11:39:45Z</dcterms:created>
  <dcterms:modified xsi:type="dcterms:W3CDTF">2025-11-09T11:39:59Z</dcterms:modified>
</cp:coreProperties>
</file>